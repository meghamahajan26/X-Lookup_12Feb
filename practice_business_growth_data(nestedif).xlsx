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ddanous\12 Feb\"/>
    </mc:Choice>
  </mc:AlternateContent>
  <xr:revisionPtr revIDLastSave="0" documentId="8_{41A71719-6041-4111-95D9-7170BDB92D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M4" i="1" s="1"/>
  <c r="J192" i="1"/>
  <c r="J19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4" i="1"/>
  <c r="J195" i="1"/>
  <c r="J196" i="1"/>
  <c r="J197" i="1"/>
  <c r="J198" i="1"/>
  <c r="J199" i="1"/>
  <c r="J200" i="1"/>
  <c r="J2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G9" i="1"/>
  <c r="G7" i="1"/>
  <c r="G5" i="1"/>
  <c r="G3" i="1"/>
  <c r="G4" i="1"/>
  <c r="G6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  <c r="M3" i="1" l="1"/>
</calcChain>
</file>

<file path=xl/sharedStrings.xml><?xml version="1.0" encoding="utf-8"?>
<sst xmlns="http://schemas.openxmlformats.org/spreadsheetml/2006/main" count="412" uniqueCount="20">
  <si>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</si>
  <si>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</si>
  <si>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</si>
  <si>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</si>
  <si>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</si>
  <si>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</si>
  <si>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</si>
  <si>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</si>
  <si>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</si>
  <si>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</si>
  <si>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</si>
  <si>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</si>
  <si>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</si>
  <si>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</si>
  <si>
    <t>Year</t>
  </si>
  <si>
    <t>Month</t>
  </si>
  <si>
    <t>Day</t>
  </si>
  <si>
    <t>Region</t>
  </si>
  <si>
    <t>American</t>
  </si>
  <si>
    <t>Non 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</si>
</sst>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1" fillId="2" borderId="2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topLeftCell="B1" zoomScale="138" zoomScaleNormal="152" workbookViewId="0">
      <selection activeCell="L10" sqref="L10"/>
    </sheetView>
  </sheetViews>
  <sheetFormatPr defaultColWidth="8.77734375" defaultRowHeight="14.4" x14ac:dyDescent="0.3"/>
  <cols>
    <col min="1" max="1" width="12.109375" bestFit="1" customWidth="1"/>
    <col min="2" max="2" width="17.6640625" bestFit="1" customWidth="1"/>
    <col min="3" max="4" width="12.109375" style="4" bestFit="1" customWidth="1"/>
    <col min="5" max="5" width="14.44140625" bestFit="1" customWidth="1"/>
    <col min="6" max="6" width="12.109375" style="4" bestFit="1" customWidth="1"/>
    <col min="10" max="10" width="14" customWidth="1"/>
    <col min="12" max="12" width="13.33203125" customWidth="1"/>
  </cols>
  <sheetData>
    <row r="1" spans="1:13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5" t="s">
        <v>14</v>
      </c>
      <c r="H1" s="5" t="s">
        <v>15</v>
      </c>
      <c r="I1" s="5" t="s">
        <v>16</v>
      </c>
      <c r="J1" s="6" t="s">
        <v>17</v>
      </c>
    </row>
    <row r="2" spans="1:13" x14ac:dyDescent="0.3">
      <c r="A2" t="s">
        <v>6</v>
      </c>
      <c r="B2" s="2">
        <v>43831</v>
      </c>
      <c r="C2" s="4">
        <v>13528.10469193533</v>
      </c>
      <c r="D2" s="4">
        <v>4630.818162057556</v>
      </c>
      <c r="E2" t="s">
        <v>10</v>
      </c>
      <c r="F2" s="4">
        <v>440.1346063077014</v>
      </c>
      <c r="G2">
        <f>YEAR(B2)</f>
        <v>2020</v>
      </c>
      <c r="H2">
        <f>MONTH(B2)</f>
        <v>1</v>
      </c>
      <c r="I2">
        <f>DAY(B2)</f>
        <v>1</v>
      </c>
      <c r="J2" t="str">
        <f>IF(OR(A2="North America", A2="South America"), "American", "Non-American")</f>
        <v>American</v>
      </c>
    </row>
    <row r="3" spans="1:13" x14ac:dyDescent="0.3">
      <c r="A3" t="s">
        <v>7</v>
      </c>
      <c r="B3" s="2">
        <v>43832</v>
      </c>
      <c r="C3" s="4">
        <v>10800.314416734451</v>
      </c>
      <c r="D3" s="4">
        <v>4760.6208224240736</v>
      </c>
      <c r="E3" t="s">
        <v>11</v>
      </c>
      <c r="F3" s="4">
        <v>388.41030140396049</v>
      </c>
      <c r="G3">
        <f t="shared" ref="G3:G66" si="0">YEAR(B3)</f>
        <v>2020</v>
      </c>
      <c r="H3">
        <f t="shared" ref="H3:H66" si="1">MONTH(B3)</f>
        <v>1</v>
      </c>
      <c r="I3">
        <f>DAY(B3)</f>
        <v>2</v>
      </c>
      <c r="J3" t="str">
        <f t="shared" ref="J3:J66" si="2">IF(OR(A3="North America", A3="South America"), "American", "Non-American")</f>
        <v>Non-American</v>
      </c>
      <c r="L3" t="s">
        <v>18</v>
      </c>
      <c r="M3" s="7">
        <f>COUNTIF(J2:J201, "American")</f>
        <v>104</v>
      </c>
    </row>
    <row r="4" spans="1:13" x14ac:dyDescent="0.3">
      <c r="A4" t="s">
        <v>8</v>
      </c>
      <c r="B4" s="2">
        <v>43833</v>
      </c>
      <c r="C4" s="4">
        <v>11957.47596821148</v>
      </c>
      <c r="D4" s="4">
        <v>6099.659595887113</v>
      </c>
      <c r="E4" t="s">
        <v>12</v>
      </c>
      <c r="F4" s="4">
        <v>576.66631816450865</v>
      </c>
      <c r="G4">
        <f t="shared" si="0"/>
        <v>2020</v>
      </c>
      <c r="H4">
        <f t="shared" si="1"/>
        <v>1</v>
      </c>
      <c r="I4">
        <f t="shared" ref="I4:I66" si="3">DAY(B4)</f>
        <v>3</v>
      </c>
      <c r="J4" t="str">
        <f t="shared" si="2"/>
        <v>American</v>
      </c>
      <c r="L4" t="s">
        <v>19</v>
      </c>
      <c r="M4" s="7">
        <f>COUNTIF(J2:J201, "Non-American")</f>
        <v>96</v>
      </c>
    </row>
    <row r="5" spans="1:13" x14ac:dyDescent="0.3">
      <c r="A5" t="s">
        <v>7</v>
      </c>
      <c r="B5" s="2">
        <v>43834</v>
      </c>
      <c r="C5" s="4">
        <v>14481.786398402921</v>
      </c>
      <c r="D5" s="4">
        <v>5655.2637307225978</v>
      </c>
      <c r="E5" t="s">
        <v>13</v>
      </c>
      <c r="F5" s="4">
        <v>535.6292817472289</v>
      </c>
      <c r="G5">
        <f>YEAR(B5)</f>
        <v>2020</v>
      </c>
      <c r="H5">
        <f t="shared" si="1"/>
        <v>1</v>
      </c>
      <c r="I5">
        <f t="shared" si="3"/>
        <v>4</v>
      </c>
      <c r="J5" t="str">
        <f t="shared" si="2"/>
        <v>Non-American</v>
      </c>
    </row>
    <row r="6" spans="1:13" x14ac:dyDescent="0.3">
      <c r="A6" t="s">
        <v>9</v>
      </c>
      <c r="B6" s="2">
        <v>43835</v>
      </c>
      <c r="C6" s="4">
        <v>13735.115980299939</v>
      </c>
      <c r="D6" s="4">
        <v>5640.1315260975916</v>
      </c>
      <c r="E6" t="s">
        <v>12</v>
      </c>
      <c r="F6" s="4">
        <v>323.14615493229689</v>
      </c>
      <c r="G6">
        <f t="shared" si="0"/>
        <v>2020</v>
      </c>
      <c r="H6">
        <f t="shared" si="1"/>
        <v>1</v>
      </c>
      <c r="I6">
        <f t="shared" si="3"/>
        <v>5</v>
      </c>
      <c r="J6" t="str">
        <f t="shared" si="2"/>
        <v>Non-American</v>
      </c>
    </row>
    <row r="7" spans="1:13" x14ac:dyDescent="0.3">
      <c r="A7" t="s">
        <v>8</v>
      </c>
      <c r="B7" s="2">
        <v>43836</v>
      </c>
      <c r="C7" s="4">
        <v>8045.4442402471777</v>
      </c>
      <c r="D7" s="4">
        <v>3383.0439556891661</v>
      </c>
      <c r="E7" t="s">
        <v>11</v>
      </c>
      <c r="F7" s="4">
        <v>535.54817927437693</v>
      </c>
      <c r="G7">
        <f>YEAR(B7)</f>
        <v>2020</v>
      </c>
      <c r="H7">
        <f t="shared" si="1"/>
        <v>1</v>
      </c>
      <c r="I7">
        <f t="shared" si="3"/>
        <v>6</v>
      </c>
      <c r="J7" t="str">
        <f t="shared" si="2"/>
        <v>American</v>
      </c>
    </row>
    <row r="8" spans="1:13" x14ac:dyDescent="0.3">
      <c r="A8" t="s">
        <v>7</v>
      </c>
      <c r="B8" s="2">
        <v>43837</v>
      </c>
      <c r="C8" s="4">
        <v>11900.176835051179</v>
      </c>
      <c r="D8" s="4">
        <v>4975.6738756010654</v>
      </c>
      <c r="E8" t="s">
        <v>13</v>
      </c>
      <c r="F8" s="4">
        <v>581.45198224878663</v>
      </c>
      <c r="G8">
        <f t="shared" si="0"/>
        <v>2020</v>
      </c>
      <c r="H8">
        <f t="shared" si="1"/>
        <v>1</v>
      </c>
      <c r="I8">
        <f t="shared" si="3"/>
        <v>7</v>
      </c>
      <c r="J8" t="str">
        <f t="shared" si="2"/>
        <v>Non-American</v>
      </c>
    </row>
    <row r="9" spans="1:13" x14ac:dyDescent="0.3">
      <c r="A9" t="s">
        <v>9</v>
      </c>
      <c r="B9" s="2">
        <v>43838</v>
      </c>
      <c r="C9" s="4">
        <v>9697.285583404604</v>
      </c>
      <c r="D9" s="4">
        <v>4261.9690907943113</v>
      </c>
      <c r="E9" t="s">
        <v>12</v>
      </c>
      <c r="F9" s="4">
        <v>505.89255891816299</v>
      </c>
      <c r="G9">
        <f>YEAR(B9)</f>
        <v>2020</v>
      </c>
      <c r="H9">
        <f t="shared" si="1"/>
        <v>1</v>
      </c>
      <c r="I9">
        <f t="shared" si="3"/>
        <v>8</v>
      </c>
      <c r="J9" t="str">
        <f t="shared" si="2"/>
        <v>Non-American</v>
      </c>
    </row>
    <row r="10" spans="1:13" x14ac:dyDescent="0.3">
      <c r="A10" t="s">
        <v>8</v>
      </c>
      <c r="B10" s="2">
        <v>43839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  <c r="G10">
        <f t="shared" si="0"/>
        <v>2020</v>
      </c>
      <c r="H10">
        <f t="shared" si="1"/>
        <v>1</v>
      </c>
      <c r="I10">
        <f t="shared" si="3"/>
        <v>9</v>
      </c>
      <c r="J10" t="str">
        <f t="shared" si="2"/>
        <v>American</v>
      </c>
    </row>
    <row r="11" spans="1:13" x14ac:dyDescent="0.3">
      <c r="A11" t="s">
        <v>9</v>
      </c>
      <c r="B11" s="2">
        <v>43840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  <c r="G11">
        <f t="shared" si="0"/>
        <v>2020</v>
      </c>
      <c r="H11">
        <f t="shared" si="1"/>
        <v>1</v>
      </c>
      <c r="I11">
        <f t="shared" si="3"/>
        <v>10</v>
      </c>
      <c r="J11" t="str">
        <f t="shared" si="2"/>
        <v>Non-American</v>
      </c>
    </row>
    <row r="12" spans="1:13" x14ac:dyDescent="0.3">
      <c r="A12" t="s">
        <v>8</v>
      </c>
      <c r="B12" s="2">
        <v>43841</v>
      </c>
      <c r="C12" s="4">
        <v>10288.08714232176</v>
      </c>
      <c r="D12" s="4">
        <v>5910.1789080925919</v>
      </c>
      <c r="E12" t="s">
        <v>13</v>
      </c>
      <c r="F12" s="4">
        <v>355.34653004366118</v>
      </c>
      <c r="G12">
        <f t="shared" si="0"/>
        <v>2020</v>
      </c>
      <c r="H12">
        <f t="shared" si="1"/>
        <v>1</v>
      </c>
      <c r="I12">
        <f t="shared" si="3"/>
        <v>11</v>
      </c>
      <c r="J12" t="str">
        <f t="shared" si="2"/>
        <v>American</v>
      </c>
    </row>
    <row r="13" spans="1:13" x14ac:dyDescent="0.3">
      <c r="A13" t="s">
        <v>9</v>
      </c>
      <c r="B13" s="2">
        <v>43842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  <c r="G13">
        <f t="shared" si="0"/>
        <v>2020</v>
      </c>
      <c r="H13">
        <f t="shared" si="1"/>
        <v>1</v>
      </c>
      <c r="I13">
        <f t="shared" si="3"/>
        <v>12</v>
      </c>
      <c r="J13" t="str">
        <f t="shared" si="2"/>
        <v>Non-American</v>
      </c>
    </row>
    <row r="14" spans="1:13" x14ac:dyDescent="0.3">
      <c r="A14" t="s">
        <v>7</v>
      </c>
      <c r="B14" s="2">
        <v>43843</v>
      </c>
      <c r="C14" s="4">
        <v>11522.075450293991</v>
      </c>
      <c r="D14" s="4">
        <v>5786.327962108976</v>
      </c>
      <c r="E14" t="s">
        <v>13</v>
      </c>
      <c r="F14" s="4">
        <v>469.0885555228291</v>
      </c>
      <c r="G14">
        <f t="shared" si="0"/>
        <v>2020</v>
      </c>
      <c r="H14">
        <f t="shared" si="1"/>
        <v>1</v>
      </c>
      <c r="I14">
        <f t="shared" si="3"/>
        <v>13</v>
      </c>
      <c r="J14" t="str">
        <f t="shared" si="2"/>
        <v>Non-American</v>
      </c>
    </row>
    <row r="15" spans="1:13" x14ac:dyDescent="0.3">
      <c r="A15" t="s">
        <v>6</v>
      </c>
      <c r="B15" s="2">
        <v>43844</v>
      </c>
      <c r="C15" s="4">
        <v>10243.35003298566</v>
      </c>
      <c r="D15" s="4">
        <v>4533.5809032640573</v>
      </c>
      <c r="E15" t="s">
        <v>12</v>
      </c>
      <c r="F15" s="4">
        <v>476.65333384563081</v>
      </c>
      <c r="G15">
        <f t="shared" si="0"/>
        <v>2020</v>
      </c>
      <c r="H15">
        <f t="shared" si="1"/>
        <v>1</v>
      </c>
      <c r="I15">
        <f t="shared" si="3"/>
        <v>14</v>
      </c>
      <c r="J15" t="str">
        <f t="shared" si="2"/>
        <v>American</v>
      </c>
    </row>
    <row r="16" spans="1:13" x14ac:dyDescent="0.3">
      <c r="A16" t="s">
        <v>8</v>
      </c>
      <c r="B16" s="2">
        <v>43845</v>
      </c>
      <c r="C16" s="4">
        <v>10887.72646549085</v>
      </c>
      <c r="D16" s="4">
        <v>4055.5537440817502</v>
      </c>
      <c r="E16" t="s">
        <v>12</v>
      </c>
      <c r="F16" s="4">
        <v>673.27211869191331</v>
      </c>
      <c r="G16">
        <f t="shared" si="0"/>
        <v>2020</v>
      </c>
      <c r="H16">
        <f t="shared" si="1"/>
        <v>1</v>
      </c>
      <c r="I16">
        <f t="shared" si="3"/>
        <v>15</v>
      </c>
      <c r="J16" t="str">
        <f t="shared" si="2"/>
        <v>American</v>
      </c>
    </row>
    <row r="17" spans="1:10" x14ac:dyDescent="0.3">
      <c r="A17" t="s">
        <v>8</v>
      </c>
      <c r="B17" s="2">
        <v>43846</v>
      </c>
      <c r="C17" s="4">
        <v>10667.34865474853</v>
      </c>
      <c r="D17" s="4">
        <v>4589.950306797451</v>
      </c>
      <c r="E17" t="s">
        <v>11</v>
      </c>
      <c r="F17" s="4">
        <v>568.45011068591907</v>
      </c>
      <c r="G17">
        <f t="shared" si="0"/>
        <v>2020</v>
      </c>
      <c r="H17">
        <f t="shared" si="1"/>
        <v>1</v>
      </c>
      <c r="I17">
        <f t="shared" si="3"/>
        <v>16</v>
      </c>
      <c r="J17" t="str">
        <f t="shared" si="2"/>
        <v>American</v>
      </c>
    </row>
    <row r="18" spans="1:10" x14ac:dyDescent="0.3">
      <c r="A18" t="s">
        <v>6</v>
      </c>
      <c r="B18" s="2">
        <v>43847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  <c r="G18">
        <f t="shared" si="0"/>
        <v>2020</v>
      </c>
      <c r="H18">
        <f t="shared" si="1"/>
        <v>1</v>
      </c>
      <c r="I18">
        <f t="shared" si="3"/>
        <v>17</v>
      </c>
      <c r="J18" t="str">
        <f t="shared" si="2"/>
        <v>American</v>
      </c>
    </row>
    <row r="19" spans="1:10" x14ac:dyDescent="0.3">
      <c r="A19" t="s">
        <v>7</v>
      </c>
      <c r="B19" s="2">
        <v>43848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  <c r="G19">
        <f t="shared" si="0"/>
        <v>2020</v>
      </c>
      <c r="H19">
        <f t="shared" si="1"/>
        <v>1</v>
      </c>
      <c r="I19">
        <f t="shared" si="3"/>
        <v>18</v>
      </c>
      <c r="J19" t="str">
        <f t="shared" si="2"/>
        <v>Non-American</v>
      </c>
    </row>
    <row r="20" spans="1:10" x14ac:dyDescent="0.3">
      <c r="A20" t="s">
        <v>8</v>
      </c>
      <c r="B20" s="2">
        <v>43849</v>
      </c>
      <c r="C20" s="4">
        <v>10626.1354033018</v>
      </c>
      <c r="D20" s="4">
        <v>7259.3089506908527</v>
      </c>
      <c r="E20" t="s">
        <v>10</v>
      </c>
      <c r="F20" s="4">
        <v>651.99948607657734</v>
      </c>
      <c r="G20">
        <f t="shared" si="0"/>
        <v>2020</v>
      </c>
      <c r="H20">
        <f t="shared" si="1"/>
        <v>1</v>
      </c>
      <c r="I20">
        <f t="shared" si="3"/>
        <v>19</v>
      </c>
      <c r="J20" t="str">
        <f t="shared" si="2"/>
        <v>American</v>
      </c>
    </row>
    <row r="21" spans="1:10" x14ac:dyDescent="0.3">
      <c r="A21" t="s">
        <v>6</v>
      </c>
      <c r="B21" s="2">
        <v>43850</v>
      </c>
      <c r="C21" s="4">
        <v>8291.8085213965496</v>
      </c>
      <c r="D21" s="4">
        <v>4957.7428483393569</v>
      </c>
      <c r="E21" t="s">
        <v>11</v>
      </c>
      <c r="F21" s="4">
        <v>671.9589307416195</v>
      </c>
      <c r="G21">
        <f t="shared" si="0"/>
        <v>2020</v>
      </c>
      <c r="H21">
        <f t="shared" si="1"/>
        <v>1</v>
      </c>
      <c r="I21">
        <f t="shared" si="3"/>
        <v>20</v>
      </c>
      <c r="J21" t="str">
        <f t="shared" si="2"/>
        <v>American</v>
      </c>
    </row>
    <row r="22" spans="1:10" x14ac:dyDescent="0.3">
      <c r="A22" t="s">
        <v>6</v>
      </c>
      <c r="B22" s="2">
        <v>43851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  <c r="G22">
        <f t="shared" si="0"/>
        <v>2020</v>
      </c>
      <c r="H22">
        <f t="shared" si="1"/>
        <v>1</v>
      </c>
      <c r="I22">
        <f t="shared" si="3"/>
        <v>21</v>
      </c>
      <c r="J22" t="str">
        <f t="shared" si="2"/>
        <v>American</v>
      </c>
    </row>
    <row r="23" spans="1:10" x14ac:dyDescent="0.3">
      <c r="A23" t="s">
        <v>7</v>
      </c>
      <c r="B23" s="2">
        <v>43852</v>
      </c>
      <c r="C23" s="4">
        <v>11307.23719088072</v>
      </c>
      <c r="D23" s="4">
        <v>4654.0182243006138</v>
      </c>
      <c r="E23" t="s">
        <v>11</v>
      </c>
      <c r="F23" s="4">
        <v>558.22245913979248</v>
      </c>
      <c r="G23">
        <f t="shared" si="0"/>
        <v>2020</v>
      </c>
      <c r="H23">
        <f t="shared" si="1"/>
        <v>1</v>
      </c>
      <c r="I23">
        <f t="shared" si="3"/>
        <v>22</v>
      </c>
      <c r="J23" t="str">
        <f t="shared" si="2"/>
        <v>Non-American</v>
      </c>
    </row>
    <row r="24" spans="1:10" x14ac:dyDescent="0.3">
      <c r="A24" t="s">
        <v>6</v>
      </c>
      <c r="B24" s="2">
        <v>43853</v>
      </c>
      <c r="C24" s="4">
        <v>11728.872397719009</v>
      </c>
      <c r="D24" s="4">
        <v>4536.404025353906</v>
      </c>
      <c r="E24" t="s">
        <v>12</v>
      </c>
      <c r="F24" s="4">
        <v>290.53969287938548</v>
      </c>
      <c r="G24">
        <f t="shared" si="0"/>
        <v>2020</v>
      </c>
      <c r="H24">
        <f t="shared" si="1"/>
        <v>1</v>
      </c>
      <c r="I24">
        <f t="shared" si="3"/>
        <v>23</v>
      </c>
      <c r="J24" t="str">
        <f t="shared" si="2"/>
        <v>American</v>
      </c>
    </row>
    <row r="25" spans="1:10" x14ac:dyDescent="0.3">
      <c r="A25" t="s">
        <v>8</v>
      </c>
      <c r="B25" s="2">
        <v>43854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  <c r="G25">
        <f t="shared" si="0"/>
        <v>2020</v>
      </c>
      <c r="H25">
        <f t="shared" si="1"/>
        <v>1</v>
      </c>
      <c r="I25">
        <f t="shared" si="3"/>
        <v>24</v>
      </c>
      <c r="J25" t="str">
        <f t="shared" si="2"/>
        <v>American</v>
      </c>
    </row>
    <row r="26" spans="1:10" x14ac:dyDescent="0.3">
      <c r="A26" t="s">
        <v>7</v>
      </c>
      <c r="B26" s="2">
        <v>43855</v>
      </c>
      <c r="C26" s="4">
        <v>14539.50924797522</v>
      </c>
      <c r="D26" s="4">
        <v>3459.2029855553751</v>
      </c>
      <c r="E26" t="s">
        <v>13</v>
      </c>
      <c r="F26" s="4">
        <v>486.98930458062961</v>
      </c>
      <c r="G26">
        <f t="shared" si="0"/>
        <v>2020</v>
      </c>
      <c r="H26">
        <f t="shared" si="1"/>
        <v>1</v>
      </c>
      <c r="I26">
        <f t="shared" si="3"/>
        <v>25</v>
      </c>
      <c r="J26" t="str">
        <f t="shared" si="2"/>
        <v>Non-American</v>
      </c>
    </row>
    <row r="27" spans="1:10" x14ac:dyDescent="0.3">
      <c r="A27" t="s">
        <v>9</v>
      </c>
      <c r="B27" s="2">
        <v>43856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  <c r="G27">
        <f t="shared" si="0"/>
        <v>2020</v>
      </c>
      <c r="H27">
        <f t="shared" si="1"/>
        <v>1</v>
      </c>
      <c r="I27">
        <f t="shared" si="3"/>
        <v>26</v>
      </c>
      <c r="J27" t="str">
        <f t="shared" si="2"/>
        <v>Non-American</v>
      </c>
    </row>
    <row r="28" spans="1:10" x14ac:dyDescent="0.3">
      <c r="A28" t="s">
        <v>9</v>
      </c>
      <c r="B28" s="2">
        <v>43857</v>
      </c>
      <c r="C28" s="4">
        <v>10091.51703460289</v>
      </c>
      <c r="D28" s="4">
        <v>5156.5065379653752</v>
      </c>
      <c r="E28" t="s">
        <v>11</v>
      </c>
      <c r="F28" s="4">
        <v>594.30460873225184</v>
      </c>
      <c r="G28">
        <f t="shared" si="0"/>
        <v>2020</v>
      </c>
      <c r="H28">
        <f t="shared" si="1"/>
        <v>1</v>
      </c>
      <c r="I28">
        <f t="shared" si="3"/>
        <v>27</v>
      </c>
      <c r="J28" t="str">
        <f t="shared" si="2"/>
        <v>Non-American</v>
      </c>
    </row>
    <row r="29" spans="1:10" x14ac:dyDescent="0.3">
      <c r="A29" t="s">
        <v>8</v>
      </c>
      <c r="B29" s="2">
        <v>43858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  <c r="G29">
        <f t="shared" si="0"/>
        <v>2020</v>
      </c>
      <c r="H29">
        <f t="shared" si="1"/>
        <v>1</v>
      </c>
      <c r="I29">
        <f t="shared" si="3"/>
        <v>28</v>
      </c>
      <c r="J29" t="str">
        <f t="shared" si="2"/>
        <v>American</v>
      </c>
    </row>
    <row r="30" spans="1:10" x14ac:dyDescent="0.3">
      <c r="A30" t="s">
        <v>6</v>
      </c>
      <c r="B30" s="2">
        <v>43859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  <c r="G30">
        <f t="shared" si="0"/>
        <v>2020</v>
      </c>
      <c r="H30">
        <f t="shared" si="1"/>
        <v>1</v>
      </c>
      <c r="I30">
        <f t="shared" si="3"/>
        <v>29</v>
      </c>
      <c r="J30" t="str">
        <f t="shared" si="2"/>
        <v>American</v>
      </c>
    </row>
    <row r="31" spans="1:10" x14ac:dyDescent="0.3">
      <c r="A31" t="s">
        <v>7</v>
      </c>
      <c r="B31" s="2">
        <v>43860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  <c r="G31">
        <f t="shared" si="0"/>
        <v>2020</v>
      </c>
      <c r="H31">
        <f t="shared" si="1"/>
        <v>1</v>
      </c>
      <c r="I31">
        <f t="shared" si="3"/>
        <v>30</v>
      </c>
      <c r="J31" t="str">
        <f t="shared" si="2"/>
        <v>Non-American</v>
      </c>
    </row>
    <row r="32" spans="1:10" x14ac:dyDescent="0.3">
      <c r="A32" t="s">
        <v>9</v>
      </c>
      <c r="B32" s="2">
        <v>43861</v>
      </c>
      <c r="C32" s="4">
        <v>10309.89485139383</v>
      </c>
      <c r="D32" s="4">
        <v>3575.9390910174679</v>
      </c>
      <c r="E32" t="s">
        <v>13</v>
      </c>
      <c r="F32" s="4">
        <v>453.31544539472372</v>
      </c>
      <c r="G32">
        <f t="shared" si="0"/>
        <v>2020</v>
      </c>
      <c r="H32">
        <f t="shared" si="1"/>
        <v>1</v>
      </c>
      <c r="I32">
        <f t="shared" si="3"/>
        <v>31</v>
      </c>
      <c r="J32" t="str">
        <f t="shared" si="2"/>
        <v>Non-American</v>
      </c>
    </row>
    <row r="33" spans="1:10" x14ac:dyDescent="0.3">
      <c r="A33" t="s">
        <v>7</v>
      </c>
      <c r="B33" s="2">
        <v>43862</v>
      </c>
      <c r="C33" s="4">
        <v>10756.32503920435</v>
      </c>
      <c r="D33" s="4">
        <v>4506.6801166378063</v>
      </c>
      <c r="E33" t="s">
        <v>13</v>
      </c>
      <c r="F33" s="4">
        <v>358.30938868737411</v>
      </c>
      <c r="G33">
        <f t="shared" si="0"/>
        <v>2020</v>
      </c>
      <c r="H33">
        <f t="shared" si="1"/>
        <v>2</v>
      </c>
      <c r="I33">
        <f t="shared" si="3"/>
        <v>1</v>
      </c>
      <c r="J33" t="str">
        <f t="shared" si="2"/>
        <v>Non-American</v>
      </c>
    </row>
    <row r="34" spans="1:10" x14ac:dyDescent="0.3">
      <c r="A34" t="s">
        <v>8</v>
      </c>
      <c r="B34" s="2">
        <v>43863</v>
      </c>
      <c r="C34" s="4">
        <v>8224.4285047397752</v>
      </c>
      <c r="D34" s="4">
        <v>4457.1385239832834</v>
      </c>
      <c r="E34" t="s">
        <v>12</v>
      </c>
      <c r="F34" s="4">
        <v>586.8963486896796</v>
      </c>
      <c r="G34">
        <f t="shared" si="0"/>
        <v>2020</v>
      </c>
      <c r="H34">
        <f t="shared" si="1"/>
        <v>2</v>
      </c>
      <c r="I34">
        <f t="shared" si="3"/>
        <v>2</v>
      </c>
      <c r="J34" t="str">
        <f t="shared" si="2"/>
        <v>American</v>
      </c>
    </row>
    <row r="35" spans="1:10" x14ac:dyDescent="0.3">
      <c r="A35" t="s">
        <v>8</v>
      </c>
      <c r="B35" s="2">
        <v>43864</v>
      </c>
      <c r="C35" s="4">
        <v>6038.4070635521457</v>
      </c>
      <c r="E35" t="s">
        <v>13</v>
      </c>
      <c r="F35" s="4">
        <v>527.68719058461284</v>
      </c>
      <c r="G35">
        <f t="shared" si="0"/>
        <v>2020</v>
      </c>
      <c r="H35">
        <f t="shared" si="1"/>
        <v>2</v>
      </c>
      <c r="I35">
        <f t="shared" si="3"/>
        <v>3</v>
      </c>
      <c r="J35" t="str">
        <f t="shared" si="2"/>
        <v>American</v>
      </c>
    </row>
    <row r="36" spans="1:10" x14ac:dyDescent="0.3">
      <c r="A36" t="s">
        <v>7</v>
      </c>
      <c r="B36" s="2">
        <v>43865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  <c r="G36">
        <f t="shared" si="0"/>
        <v>2020</v>
      </c>
      <c r="H36">
        <f t="shared" si="1"/>
        <v>2</v>
      </c>
      <c r="I36">
        <f t="shared" si="3"/>
        <v>4</v>
      </c>
      <c r="J36" t="str">
        <f t="shared" si="2"/>
        <v>Non-American</v>
      </c>
    </row>
    <row r="37" spans="1:10" x14ac:dyDescent="0.3">
      <c r="A37" t="s">
        <v>7</v>
      </c>
      <c r="B37" s="2">
        <v>43866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  <c r="G37">
        <f t="shared" si="0"/>
        <v>2020</v>
      </c>
      <c r="H37">
        <f t="shared" si="1"/>
        <v>2</v>
      </c>
      <c r="I37">
        <f t="shared" si="3"/>
        <v>5</v>
      </c>
      <c r="J37" t="str">
        <f t="shared" si="2"/>
        <v>Non-American</v>
      </c>
    </row>
    <row r="38" spans="1:10" x14ac:dyDescent="0.3">
      <c r="A38" t="s">
        <v>8</v>
      </c>
      <c r="B38" s="2">
        <v>43867</v>
      </c>
      <c r="C38" s="4">
        <v>12460.581361455441</v>
      </c>
      <c r="D38" s="4">
        <v>6494.484544491369</v>
      </c>
      <c r="E38" t="s">
        <v>11</v>
      </c>
      <c r="F38" s="4">
        <v>582.15857120497958</v>
      </c>
      <c r="G38">
        <f t="shared" si="0"/>
        <v>2020</v>
      </c>
      <c r="H38">
        <f t="shared" si="1"/>
        <v>2</v>
      </c>
      <c r="I38">
        <f t="shared" si="3"/>
        <v>6</v>
      </c>
      <c r="J38" t="str">
        <f t="shared" si="2"/>
        <v>American</v>
      </c>
    </row>
    <row r="39" spans="1:10" x14ac:dyDescent="0.3">
      <c r="A39" t="s">
        <v>8</v>
      </c>
      <c r="B39" s="2">
        <v>43868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  <c r="G39">
        <f t="shared" si="0"/>
        <v>2020</v>
      </c>
      <c r="H39">
        <f t="shared" si="1"/>
        <v>2</v>
      </c>
      <c r="I39">
        <f t="shared" si="3"/>
        <v>7</v>
      </c>
      <c r="J39" t="str">
        <f t="shared" si="2"/>
        <v>American</v>
      </c>
    </row>
    <row r="40" spans="1:10" x14ac:dyDescent="0.3">
      <c r="A40" t="s">
        <v>6</v>
      </c>
      <c r="B40" s="2">
        <v>43869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  <c r="G40">
        <f t="shared" si="0"/>
        <v>2020</v>
      </c>
      <c r="H40">
        <f t="shared" si="1"/>
        <v>2</v>
      </c>
      <c r="I40">
        <f t="shared" si="3"/>
        <v>8</v>
      </c>
      <c r="J40" t="str">
        <f t="shared" si="2"/>
        <v>American</v>
      </c>
    </row>
    <row r="41" spans="1:10" x14ac:dyDescent="0.3">
      <c r="A41" t="s">
        <v>9</v>
      </c>
      <c r="B41" s="2">
        <v>43870</v>
      </c>
      <c r="C41" s="4">
        <v>9395.3944988493295</v>
      </c>
      <c r="E41" t="s">
        <v>13</v>
      </c>
      <c r="F41" s="4">
        <v>507.82601751616608</v>
      </c>
      <c r="G41">
        <f t="shared" si="0"/>
        <v>2020</v>
      </c>
      <c r="H41">
        <f t="shared" si="1"/>
        <v>2</v>
      </c>
      <c r="I41">
        <f t="shared" si="3"/>
        <v>9</v>
      </c>
      <c r="J41" t="str">
        <f t="shared" si="2"/>
        <v>Non-American</v>
      </c>
    </row>
    <row r="42" spans="1:10" x14ac:dyDescent="0.3">
      <c r="A42" t="s">
        <v>6</v>
      </c>
      <c r="B42" s="2">
        <v>43871</v>
      </c>
      <c r="C42" s="4">
        <v>7902.8940698658153</v>
      </c>
      <c r="D42" s="4">
        <v>4362.562974447771</v>
      </c>
      <c r="E42" t="s">
        <v>12</v>
      </c>
      <c r="F42" s="4">
        <v>460.47710173456449</v>
      </c>
      <c r="G42">
        <f t="shared" si="0"/>
        <v>2020</v>
      </c>
      <c r="H42">
        <f t="shared" si="1"/>
        <v>2</v>
      </c>
      <c r="I42">
        <f t="shared" si="3"/>
        <v>10</v>
      </c>
      <c r="J42" t="str">
        <f t="shared" si="2"/>
        <v>American</v>
      </c>
    </row>
    <row r="43" spans="1:10" x14ac:dyDescent="0.3">
      <c r="A43" t="s">
        <v>7</v>
      </c>
      <c r="B43" s="2">
        <v>43872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  <c r="G43">
        <f t="shared" si="0"/>
        <v>2020</v>
      </c>
      <c r="H43">
        <f t="shared" si="1"/>
        <v>2</v>
      </c>
      <c r="I43">
        <f t="shared" si="3"/>
        <v>11</v>
      </c>
      <c r="J43" t="str">
        <f t="shared" si="2"/>
        <v>Non-American</v>
      </c>
    </row>
    <row r="44" spans="1:10" x14ac:dyDescent="0.3">
      <c r="A44" t="s">
        <v>9</v>
      </c>
      <c r="B44" s="2">
        <v>43873</v>
      </c>
      <c r="C44" s="4">
        <v>6587.4596187499747</v>
      </c>
      <c r="D44" s="4">
        <v>4867.119422413044</v>
      </c>
      <c r="E44" t="s">
        <v>13</v>
      </c>
      <c r="F44" s="4">
        <v>491.40692330283872</v>
      </c>
      <c r="G44">
        <f t="shared" si="0"/>
        <v>2020</v>
      </c>
      <c r="H44">
        <f t="shared" si="1"/>
        <v>2</v>
      </c>
      <c r="I44">
        <f t="shared" si="3"/>
        <v>12</v>
      </c>
      <c r="J44" t="str">
        <f t="shared" si="2"/>
        <v>Non-American</v>
      </c>
    </row>
    <row r="45" spans="1:10" x14ac:dyDescent="0.3">
      <c r="A45" t="s">
        <v>6</v>
      </c>
      <c r="B45" s="2">
        <v>43874</v>
      </c>
      <c r="C45" s="4">
        <v>13901.55079046358</v>
      </c>
      <c r="E45" t="s">
        <v>11</v>
      </c>
      <c r="F45" s="4">
        <v>519.42929380457713</v>
      </c>
      <c r="G45">
        <f t="shared" si="0"/>
        <v>2020</v>
      </c>
      <c r="H45">
        <f t="shared" si="1"/>
        <v>2</v>
      </c>
      <c r="I45">
        <f t="shared" si="3"/>
        <v>13</v>
      </c>
      <c r="J45" t="str">
        <f t="shared" si="2"/>
        <v>American</v>
      </c>
    </row>
    <row r="46" spans="1:10" x14ac:dyDescent="0.3">
      <c r="A46" t="s">
        <v>9</v>
      </c>
      <c r="B46" s="2">
        <v>43875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  <c r="G46">
        <f t="shared" si="0"/>
        <v>2020</v>
      </c>
      <c r="H46">
        <f t="shared" si="1"/>
        <v>2</v>
      </c>
      <c r="I46">
        <f t="shared" si="3"/>
        <v>14</v>
      </c>
      <c r="J46" t="str">
        <f t="shared" si="2"/>
        <v>Non-American</v>
      </c>
    </row>
    <row r="47" spans="1:10" x14ac:dyDescent="0.3">
      <c r="A47" t="s">
        <v>6</v>
      </c>
      <c r="B47" s="2">
        <v>43876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  <c r="G47">
        <f t="shared" si="0"/>
        <v>2020</v>
      </c>
      <c r="H47">
        <f t="shared" si="1"/>
        <v>2</v>
      </c>
      <c r="I47">
        <f t="shared" si="3"/>
        <v>15</v>
      </c>
      <c r="J47" t="str">
        <f t="shared" si="2"/>
        <v>American</v>
      </c>
    </row>
    <row r="48" spans="1:10" x14ac:dyDescent="0.3">
      <c r="A48" t="s">
        <v>7</v>
      </c>
      <c r="B48" s="2">
        <v>43877</v>
      </c>
      <c r="C48" s="4">
        <v>7494.4092799001482</v>
      </c>
      <c r="E48" t="s">
        <v>11</v>
      </c>
      <c r="F48" s="4">
        <v>545.74156062209909</v>
      </c>
      <c r="G48">
        <f t="shared" si="0"/>
        <v>2020</v>
      </c>
      <c r="H48">
        <f t="shared" si="1"/>
        <v>2</v>
      </c>
      <c r="I48">
        <f t="shared" si="3"/>
        <v>16</v>
      </c>
      <c r="J48" t="str">
        <f t="shared" si="2"/>
        <v>Non-American</v>
      </c>
    </row>
    <row r="49" spans="1:10" x14ac:dyDescent="0.3">
      <c r="A49" t="s">
        <v>8</v>
      </c>
      <c r="B49" s="2">
        <v>43878</v>
      </c>
      <c r="C49" s="4">
        <v>11554.98071166382</v>
      </c>
      <c r="D49" s="4">
        <v>6079.6185920368207</v>
      </c>
      <c r="E49" t="s">
        <v>11</v>
      </c>
      <c r="F49" s="4">
        <v>403.53879862662723</v>
      </c>
      <c r="G49">
        <f t="shared" si="0"/>
        <v>2020</v>
      </c>
      <c r="H49">
        <f t="shared" si="1"/>
        <v>2</v>
      </c>
      <c r="I49">
        <f t="shared" si="3"/>
        <v>17</v>
      </c>
      <c r="J49" t="str">
        <f t="shared" si="2"/>
        <v>American</v>
      </c>
    </row>
    <row r="50" spans="1:10" x14ac:dyDescent="0.3">
      <c r="A50" t="s">
        <v>9</v>
      </c>
      <c r="B50" s="2">
        <v>43879</v>
      </c>
      <c r="C50" s="4">
        <v>6772.2043048840969</v>
      </c>
      <c r="D50" s="4">
        <v>4186.6357407957967</v>
      </c>
      <c r="E50" t="s">
        <v>13</v>
      </c>
      <c r="F50" s="4">
        <v>421.7370844172475</v>
      </c>
      <c r="G50">
        <f t="shared" si="0"/>
        <v>2020</v>
      </c>
      <c r="H50">
        <f t="shared" si="1"/>
        <v>2</v>
      </c>
      <c r="I50">
        <f t="shared" si="3"/>
        <v>18</v>
      </c>
      <c r="J50" t="str">
        <f t="shared" si="2"/>
        <v>Non-American</v>
      </c>
    </row>
    <row r="51" spans="1:10" x14ac:dyDescent="0.3">
      <c r="A51" t="s">
        <v>7</v>
      </c>
      <c r="B51" s="2">
        <v>43880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  <c r="G51">
        <f t="shared" si="0"/>
        <v>2020</v>
      </c>
      <c r="H51">
        <f t="shared" si="1"/>
        <v>2</v>
      </c>
      <c r="I51">
        <f t="shared" si="3"/>
        <v>19</v>
      </c>
      <c r="J51" t="str">
        <f t="shared" si="2"/>
        <v>Non-American</v>
      </c>
    </row>
    <row r="52" spans="1:10" x14ac:dyDescent="0.3">
      <c r="A52" t="s">
        <v>7</v>
      </c>
      <c r="B52" s="2">
        <v>43881</v>
      </c>
      <c r="C52" s="4">
        <v>8209.0668776126495</v>
      </c>
      <c r="E52" t="s">
        <v>12</v>
      </c>
      <c r="F52" s="4">
        <v>394.53715360149857</v>
      </c>
      <c r="G52">
        <f t="shared" si="0"/>
        <v>2020</v>
      </c>
      <c r="H52">
        <f t="shared" si="1"/>
        <v>2</v>
      </c>
      <c r="I52">
        <f t="shared" si="3"/>
        <v>20</v>
      </c>
      <c r="J52" t="str">
        <f t="shared" si="2"/>
        <v>Non-American</v>
      </c>
    </row>
    <row r="53" spans="1:10" x14ac:dyDescent="0.3">
      <c r="A53" t="s">
        <v>8</v>
      </c>
      <c r="B53" s="2">
        <v>43882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  <c r="G53">
        <f t="shared" si="0"/>
        <v>2020</v>
      </c>
      <c r="H53">
        <f t="shared" si="1"/>
        <v>2</v>
      </c>
      <c r="I53">
        <f t="shared" si="3"/>
        <v>21</v>
      </c>
      <c r="J53" t="str">
        <f t="shared" si="2"/>
        <v>American</v>
      </c>
    </row>
    <row r="54" spans="1:10" x14ac:dyDescent="0.3">
      <c r="A54" t="s">
        <v>8</v>
      </c>
      <c r="B54" s="2">
        <v>43883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  <c r="G54">
        <f t="shared" si="0"/>
        <v>2020</v>
      </c>
      <c r="H54">
        <f t="shared" si="1"/>
        <v>2</v>
      </c>
      <c r="I54">
        <f t="shared" si="3"/>
        <v>22</v>
      </c>
      <c r="J54" t="str">
        <f t="shared" si="2"/>
        <v>American</v>
      </c>
    </row>
    <row r="55" spans="1:10" x14ac:dyDescent="0.3">
      <c r="A55" t="s">
        <v>8</v>
      </c>
      <c r="B55" s="2">
        <v>43884</v>
      </c>
      <c r="C55" s="4">
        <v>7638.7356317551757</v>
      </c>
      <c r="D55" s="4">
        <v>4680.671582854905</v>
      </c>
      <c r="E55" t="s">
        <v>12</v>
      </c>
      <c r="F55" s="4">
        <v>527.90957643924537</v>
      </c>
      <c r="G55">
        <f t="shared" si="0"/>
        <v>2020</v>
      </c>
      <c r="H55">
        <f t="shared" si="1"/>
        <v>2</v>
      </c>
      <c r="I55">
        <f t="shared" si="3"/>
        <v>23</v>
      </c>
      <c r="J55" t="str">
        <f t="shared" si="2"/>
        <v>American</v>
      </c>
    </row>
    <row r="56" spans="1:10" x14ac:dyDescent="0.3">
      <c r="A56" t="s">
        <v>9</v>
      </c>
      <c r="B56" s="2">
        <v>43885</v>
      </c>
      <c r="C56" s="4">
        <v>9943.6355433226909</v>
      </c>
      <c r="D56" s="4">
        <v>5691.5387510701867</v>
      </c>
      <c r="E56" t="s">
        <v>11</v>
      </c>
      <c r="F56" s="4">
        <v>533.8904125215945</v>
      </c>
      <c r="G56">
        <f t="shared" si="0"/>
        <v>2020</v>
      </c>
      <c r="H56">
        <f t="shared" si="1"/>
        <v>2</v>
      </c>
      <c r="I56">
        <f t="shared" si="3"/>
        <v>24</v>
      </c>
      <c r="J56" t="str">
        <f t="shared" si="2"/>
        <v>Non-American</v>
      </c>
    </row>
    <row r="57" spans="1:10" x14ac:dyDescent="0.3">
      <c r="A57" t="s">
        <v>8</v>
      </c>
      <c r="B57" s="2">
        <v>43886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  <c r="G57">
        <f t="shared" si="0"/>
        <v>2020</v>
      </c>
      <c r="H57">
        <f t="shared" si="1"/>
        <v>2</v>
      </c>
      <c r="I57">
        <f t="shared" si="3"/>
        <v>25</v>
      </c>
      <c r="J57" t="str">
        <f t="shared" si="2"/>
        <v>American</v>
      </c>
    </row>
    <row r="58" spans="1:10" x14ac:dyDescent="0.3">
      <c r="A58" t="s">
        <v>9</v>
      </c>
      <c r="B58" s="2">
        <v>43887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  <c r="G58">
        <f t="shared" si="0"/>
        <v>2020</v>
      </c>
      <c r="H58">
        <f t="shared" si="1"/>
        <v>2</v>
      </c>
      <c r="I58">
        <f t="shared" si="3"/>
        <v>26</v>
      </c>
      <c r="J58" t="str">
        <f t="shared" si="2"/>
        <v>Non-American</v>
      </c>
    </row>
    <row r="59" spans="1:10" x14ac:dyDescent="0.3">
      <c r="A59" t="s">
        <v>8</v>
      </c>
      <c r="B59" s="2">
        <v>43888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  <c r="G59">
        <f t="shared" si="0"/>
        <v>2020</v>
      </c>
      <c r="H59">
        <f t="shared" si="1"/>
        <v>2</v>
      </c>
      <c r="I59">
        <f t="shared" si="3"/>
        <v>27</v>
      </c>
      <c r="J59" t="str">
        <f t="shared" si="2"/>
        <v>American</v>
      </c>
    </row>
    <row r="60" spans="1:10" x14ac:dyDescent="0.3">
      <c r="A60" t="s">
        <v>6</v>
      </c>
      <c r="B60" s="2">
        <v>43889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  <c r="G60">
        <f t="shared" si="0"/>
        <v>2020</v>
      </c>
      <c r="H60">
        <f t="shared" si="1"/>
        <v>2</v>
      </c>
      <c r="I60">
        <f t="shared" si="3"/>
        <v>28</v>
      </c>
      <c r="J60" t="str">
        <f t="shared" si="2"/>
        <v>American</v>
      </c>
    </row>
    <row r="61" spans="1:10" x14ac:dyDescent="0.3">
      <c r="A61" t="s">
        <v>6</v>
      </c>
      <c r="B61" s="2">
        <v>43890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  <c r="G61">
        <f t="shared" si="0"/>
        <v>2020</v>
      </c>
      <c r="H61">
        <f t="shared" si="1"/>
        <v>2</v>
      </c>
      <c r="I61">
        <f t="shared" si="3"/>
        <v>29</v>
      </c>
      <c r="J61" t="str">
        <f t="shared" si="2"/>
        <v>American</v>
      </c>
    </row>
    <row r="62" spans="1:10" x14ac:dyDescent="0.3">
      <c r="A62" t="s">
        <v>7</v>
      </c>
      <c r="B62" s="2">
        <v>43891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  <c r="G62">
        <f t="shared" si="0"/>
        <v>2020</v>
      </c>
      <c r="H62">
        <f t="shared" si="1"/>
        <v>3</v>
      </c>
      <c r="I62">
        <f t="shared" si="3"/>
        <v>1</v>
      </c>
      <c r="J62" t="str">
        <f t="shared" si="2"/>
        <v>Non-American</v>
      </c>
    </row>
    <row r="63" spans="1:10" x14ac:dyDescent="0.3">
      <c r="A63" t="s">
        <v>6</v>
      </c>
      <c r="B63" s="2">
        <v>43892</v>
      </c>
      <c r="C63" s="4">
        <v>9280.8936769189168</v>
      </c>
      <c r="D63" s="4">
        <v>4493.1836457013123</v>
      </c>
      <c r="E63" t="s">
        <v>11</v>
      </c>
      <c r="F63" s="4">
        <v>402.117014064123</v>
      </c>
      <c r="G63">
        <f t="shared" si="0"/>
        <v>2020</v>
      </c>
      <c r="H63">
        <f t="shared" si="1"/>
        <v>3</v>
      </c>
      <c r="I63">
        <f t="shared" si="3"/>
        <v>2</v>
      </c>
      <c r="J63" t="str">
        <f t="shared" si="2"/>
        <v>American</v>
      </c>
    </row>
    <row r="64" spans="1:10" x14ac:dyDescent="0.3">
      <c r="A64" t="s">
        <v>8</v>
      </c>
      <c r="B64" s="2">
        <v>43893</v>
      </c>
      <c r="C64" s="4">
        <v>8373.707435911092</v>
      </c>
      <c r="D64" s="4">
        <v>4403.6859615494923</v>
      </c>
      <c r="E64" t="s">
        <v>10</v>
      </c>
      <c r="F64" s="4">
        <v>456.08104781978523</v>
      </c>
      <c r="G64">
        <f t="shared" si="0"/>
        <v>2020</v>
      </c>
      <c r="H64">
        <f t="shared" si="1"/>
        <v>3</v>
      </c>
      <c r="I64">
        <f t="shared" si="3"/>
        <v>3</v>
      </c>
      <c r="J64" t="str">
        <f t="shared" si="2"/>
        <v>American</v>
      </c>
    </row>
    <row r="65" spans="1:10" x14ac:dyDescent="0.3">
      <c r="A65" t="s">
        <v>9</v>
      </c>
      <c r="B65" s="2">
        <v>43894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  <c r="G65">
        <f t="shared" si="0"/>
        <v>2020</v>
      </c>
      <c r="H65">
        <f t="shared" si="1"/>
        <v>3</v>
      </c>
      <c r="I65">
        <f t="shared" si="3"/>
        <v>4</v>
      </c>
      <c r="J65" t="str">
        <f t="shared" si="2"/>
        <v>Non-American</v>
      </c>
    </row>
    <row r="66" spans="1:10" x14ac:dyDescent="0.3">
      <c r="A66" t="s">
        <v>9</v>
      </c>
      <c r="B66" s="2">
        <v>43895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  <c r="G66">
        <f t="shared" si="0"/>
        <v>2020</v>
      </c>
      <c r="H66">
        <f t="shared" si="1"/>
        <v>3</v>
      </c>
      <c r="I66">
        <f t="shared" si="3"/>
        <v>5</v>
      </c>
      <c r="J66" t="str">
        <f t="shared" si="2"/>
        <v>Non-American</v>
      </c>
    </row>
    <row r="67" spans="1:10" x14ac:dyDescent="0.3">
      <c r="A67" t="s">
        <v>8</v>
      </c>
      <c r="B67" s="2">
        <v>43896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  <c r="G67">
        <f t="shared" ref="G67:G130" si="4">YEAR(B67)</f>
        <v>2020</v>
      </c>
      <c r="H67">
        <f t="shared" ref="H67:H130" si="5">MONTH(B67)</f>
        <v>3</v>
      </c>
      <c r="I67">
        <f t="shared" ref="I67:I130" si="6">DAY(B67)</f>
        <v>6</v>
      </c>
      <c r="J67" t="str">
        <f t="shared" ref="J67:J130" si="7">IF(OR(A67="North America", A67="South America"), "American", "Non-American")</f>
        <v>American</v>
      </c>
    </row>
    <row r="68" spans="1:10" x14ac:dyDescent="0.3">
      <c r="A68" t="s">
        <v>9</v>
      </c>
      <c r="B68" s="2">
        <v>43897</v>
      </c>
      <c r="C68" s="4">
        <v>6739.603306067911</v>
      </c>
      <c r="D68" s="4">
        <v>5523.891023834206</v>
      </c>
      <c r="E68" t="s">
        <v>10</v>
      </c>
      <c r="F68" s="4">
        <v>403.94956183668518</v>
      </c>
      <c r="G68">
        <f t="shared" si="4"/>
        <v>2020</v>
      </c>
      <c r="H68">
        <f t="shared" si="5"/>
        <v>3</v>
      </c>
      <c r="I68">
        <f t="shared" si="6"/>
        <v>7</v>
      </c>
      <c r="J68" t="str">
        <f t="shared" si="7"/>
        <v>Non-American</v>
      </c>
    </row>
    <row r="69" spans="1:10" x14ac:dyDescent="0.3">
      <c r="A69" t="s">
        <v>7</v>
      </c>
      <c r="B69" s="2">
        <v>43898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  <c r="G69">
        <f t="shared" si="4"/>
        <v>2020</v>
      </c>
      <c r="H69">
        <f t="shared" si="5"/>
        <v>3</v>
      </c>
      <c r="I69">
        <f t="shared" si="6"/>
        <v>8</v>
      </c>
      <c r="J69" t="str">
        <f t="shared" si="7"/>
        <v>Non-American</v>
      </c>
    </row>
    <row r="70" spans="1:10" x14ac:dyDescent="0.3">
      <c r="A70" t="s">
        <v>6</v>
      </c>
      <c r="B70" s="2">
        <v>43899</v>
      </c>
      <c r="C70" s="4">
        <v>8185.4032712335156</v>
      </c>
      <c r="D70" s="4">
        <v>4689.113828301528</v>
      </c>
      <c r="E70" t="s">
        <v>13</v>
      </c>
      <c r="F70" s="4">
        <v>271.13799599854713</v>
      </c>
      <c r="G70">
        <f t="shared" si="4"/>
        <v>2020</v>
      </c>
      <c r="H70">
        <f t="shared" si="5"/>
        <v>3</v>
      </c>
      <c r="I70">
        <f t="shared" si="6"/>
        <v>9</v>
      </c>
      <c r="J70" t="str">
        <f t="shared" si="7"/>
        <v>American</v>
      </c>
    </row>
    <row r="71" spans="1:10" x14ac:dyDescent="0.3">
      <c r="A71" t="s">
        <v>8</v>
      </c>
      <c r="B71" s="2">
        <v>43900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  <c r="G71">
        <f t="shared" si="4"/>
        <v>2020</v>
      </c>
      <c r="H71">
        <f t="shared" si="5"/>
        <v>3</v>
      </c>
      <c r="I71">
        <f t="shared" si="6"/>
        <v>10</v>
      </c>
      <c r="J71" t="str">
        <f t="shared" si="7"/>
        <v>American</v>
      </c>
    </row>
    <row r="72" spans="1:10" x14ac:dyDescent="0.3">
      <c r="A72" t="s">
        <v>6</v>
      </c>
      <c r="B72" s="2">
        <v>43901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  <c r="G72">
        <f t="shared" si="4"/>
        <v>2020</v>
      </c>
      <c r="H72">
        <f t="shared" si="5"/>
        <v>3</v>
      </c>
      <c r="I72">
        <f t="shared" si="6"/>
        <v>11</v>
      </c>
      <c r="J72" t="str">
        <f t="shared" si="7"/>
        <v>American</v>
      </c>
    </row>
    <row r="73" spans="1:10" x14ac:dyDescent="0.3">
      <c r="A73" t="s">
        <v>6</v>
      </c>
      <c r="B73" s="2">
        <v>43902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  <c r="G73">
        <f t="shared" si="4"/>
        <v>2020</v>
      </c>
      <c r="H73">
        <f t="shared" si="5"/>
        <v>3</v>
      </c>
      <c r="I73">
        <f t="shared" si="6"/>
        <v>12</v>
      </c>
      <c r="J73" t="str">
        <f t="shared" si="7"/>
        <v>American</v>
      </c>
    </row>
    <row r="74" spans="1:10" x14ac:dyDescent="0.3">
      <c r="A74" t="s">
        <v>8</v>
      </c>
      <c r="B74" s="2">
        <v>43903</v>
      </c>
      <c r="C74" s="4">
        <v>12278.801369086599</v>
      </c>
      <c r="D74" s="4">
        <v>6955.912308250694</v>
      </c>
      <c r="E74" t="s">
        <v>10</v>
      </c>
      <c r="F74" s="4">
        <v>472.4329465439443</v>
      </c>
      <c r="G74">
        <f t="shared" si="4"/>
        <v>2020</v>
      </c>
      <c r="H74">
        <f t="shared" si="5"/>
        <v>3</v>
      </c>
      <c r="I74">
        <f t="shared" si="6"/>
        <v>13</v>
      </c>
      <c r="J74" t="str">
        <f t="shared" si="7"/>
        <v>American</v>
      </c>
    </row>
    <row r="75" spans="1:10" x14ac:dyDescent="0.3">
      <c r="A75" t="s">
        <v>8</v>
      </c>
      <c r="B75" s="2">
        <v>43904</v>
      </c>
      <c r="C75" s="4">
        <v>7530.348359292695</v>
      </c>
      <c r="D75" s="4">
        <v>5390.093322687926</v>
      </c>
      <c r="E75" t="s">
        <v>10</v>
      </c>
      <c r="F75" s="4">
        <v>429.02720341531119</v>
      </c>
      <c r="G75">
        <f t="shared" si="4"/>
        <v>2020</v>
      </c>
      <c r="H75">
        <f t="shared" si="5"/>
        <v>3</v>
      </c>
      <c r="I75">
        <f t="shared" si="6"/>
        <v>14</v>
      </c>
      <c r="J75" t="str">
        <f t="shared" si="7"/>
        <v>American</v>
      </c>
    </row>
    <row r="76" spans="1:10" x14ac:dyDescent="0.3">
      <c r="A76" t="s">
        <v>6</v>
      </c>
      <c r="B76" s="2">
        <v>43905</v>
      </c>
      <c r="C76" s="4">
        <v>10804.683282355099</v>
      </c>
      <c r="D76" s="4">
        <v>4347.59141761298</v>
      </c>
      <c r="E76" t="s">
        <v>13</v>
      </c>
      <c r="F76" s="4">
        <v>673.88726774545103</v>
      </c>
      <c r="G76">
        <f t="shared" si="4"/>
        <v>2020</v>
      </c>
      <c r="H76">
        <f t="shared" si="5"/>
        <v>3</v>
      </c>
      <c r="I76">
        <f t="shared" si="6"/>
        <v>15</v>
      </c>
      <c r="J76" t="str">
        <f t="shared" si="7"/>
        <v>American</v>
      </c>
    </row>
    <row r="77" spans="1:10" x14ac:dyDescent="0.3">
      <c r="A77" t="s">
        <v>8</v>
      </c>
      <c r="B77" s="2">
        <v>43906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  <c r="G77">
        <f t="shared" si="4"/>
        <v>2020</v>
      </c>
      <c r="H77">
        <f t="shared" si="5"/>
        <v>3</v>
      </c>
      <c r="I77">
        <f t="shared" si="6"/>
        <v>16</v>
      </c>
      <c r="J77" t="str">
        <f t="shared" si="7"/>
        <v>American</v>
      </c>
    </row>
    <row r="78" spans="1:10" x14ac:dyDescent="0.3">
      <c r="A78" t="s">
        <v>6</v>
      </c>
      <c r="B78" s="2">
        <v>43907</v>
      </c>
      <c r="C78" s="4">
        <v>8258.4057016362367</v>
      </c>
      <c r="D78" s="4">
        <v>5493.7417773491889</v>
      </c>
      <c r="E78" t="s">
        <v>13</v>
      </c>
      <c r="F78" s="4">
        <v>631.9136876301576</v>
      </c>
      <c r="G78">
        <f t="shared" si="4"/>
        <v>2020</v>
      </c>
      <c r="H78">
        <f t="shared" si="5"/>
        <v>3</v>
      </c>
      <c r="I78">
        <f t="shared" si="6"/>
        <v>17</v>
      </c>
      <c r="J78" t="str">
        <f t="shared" si="7"/>
        <v>American</v>
      </c>
    </row>
    <row r="79" spans="1:10" x14ac:dyDescent="0.3">
      <c r="A79" t="s">
        <v>6</v>
      </c>
      <c r="B79" s="2">
        <v>43908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  <c r="G79">
        <f t="shared" si="4"/>
        <v>2020</v>
      </c>
      <c r="H79">
        <f t="shared" si="5"/>
        <v>3</v>
      </c>
      <c r="I79">
        <f t="shared" si="6"/>
        <v>18</v>
      </c>
      <c r="J79" t="str">
        <f t="shared" si="7"/>
        <v>American</v>
      </c>
    </row>
    <row r="80" spans="1:10" x14ac:dyDescent="0.3">
      <c r="A80" t="s">
        <v>6</v>
      </c>
      <c r="B80" s="2">
        <v>43909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  <c r="G80">
        <f t="shared" si="4"/>
        <v>2020</v>
      </c>
      <c r="H80">
        <f t="shared" si="5"/>
        <v>3</v>
      </c>
      <c r="I80">
        <f t="shared" si="6"/>
        <v>19</v>
      </c>
      <c r="J80" t="str">
        <f t="shared" si="7"/>
        <v>American</v>
      </c>
    </row>
    <row r="81" spans="1:10" x14ac:dyDescent="0.3">
      <c r="A81" t="s">
        <v>8</v>
      </c>
      <c r="B81" s="2">
        <v>43910</v>
      </c>
      <c r="C81" s="4">
        <v>10112.33068445949</v>
      </c>
      <c r="D81" s="4">
        <v>7064.4928613593192</v>
      </c>
      <c r="E81" t="s">
        <v>11</v>
      </c>
      <c r="F81" s="4">
        <v>549.60009463439621</v>
      </c>
      <c r="G81">
        <f t="shared" si="4"/>
        <v>2020</v>
      </c>
      <c r="H81">
        <f t="shared" si="5"/>
        <v>3</v>
      </c>
      <c r="I81">
        <f t="shared" si="6"/>
        <v>20</v>
      </c>
      <c r="J81" t="str">
        <f t="shared" si="7"/>
        <v>American</v>
      </c>
    </row>
    <row r="82" spans="1:10" x14ac:dyDescent="0.3">
      <c r="A82" t="s">
        <v>8</v>
      </c>
      <c r="B82" s="2">
        <v>43911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  <c r="G82">
        <f t="shared" si="4"/>
        <v>2020</v>
      </c>
      <c r="H82">
        <f t="shared" si="5"/>
        <v>3</v>
      </c>
      <c r="I82">
        <f t="shared" si="6"/>
        <v>21</v>
      </c>
      <c r="J82" t="str">
        <f t="shared" si="7"/>
        <v>American</v>
      </c>
    </row>
    <row r="83" spans="1:10" x14ac:dyDescent="0.3">
      <c r="A83" t="s">
        <v>7</v>
      </c>
      <c r="B83" s="2">
        <v>43912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  <c r="G83">
        <f t="shared" si="4"/>
        <v>2020</v>
      </c>
      <c r="H83">
        <f t="shared" si="5"/>
        <v>3</v>
      </c>
      <c r="I83">
        <f t="shared" si="6"/>
        <v>22</v>
      </c>
      <c r="J83" t="str">
        <f t="shared" si="7"/>
        <v>Non-American</v>
      </c>
    </row>
    <row r="84" spans="1:10" x14ac:dyDescent="0.3">
      <c r="A84" t="s">
        <v>6</v>
      </c>
      <c r="B84" s="2">
        <v>43913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  <c r="G84">
        <f t="shared" si="4"/>
        <v>2020</v>
      </c>
      <c r="H84">
        <f t="shared" si="5"/>
        <v>3</v>
      </c>
      <c r="I84">
        <f t="shared" si="6"/>
        <v>23</v>
      </c>
      <c r="J84" t="str">
        <f t="shared" si="7"/>
        <v>American</v>
      </c>
    </row>
    <row r="85" spans="1:10" x14ac:dyDescent="0.3">
      <c r="A85" t="s">
        <v>6</v>
      </c>
      <c r="B85" s="2">
        <v>43914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  <c r="G85">
        <f t="shared" si="4"/>
        <v>2020</v>
      </c>
      <c r="H85">
        <f t="shared" si="5"/>
        <v>3</v>
      </c>
      <c r="I85">
        <f t="shared" si="6"/>
        <v>24</v>
      </c>
      <c r="J85" t="str">
        <f t="shared" si="7"/>
        <v>American</v>
      </c>
    </row>
    <row r="86" spans="1:10" x14ac:dyDescent="0.3">
      <c r="A86" t="s">
        <v>6</v>
      </c>
      <c r="B86" s="2">
        <v>43915</v>
      </c>
      <c r="C86" s="4">
        <v>12976.5043875912</v>
      </c>
      <c r="D86" s="4">
        <v>5286.3436888922797</v>
      </c>
      <c r="E86" t="s">
        <v>13</v>
      </c>
      <c r="F86" s="4">
        <v>586.25960113284509</v>
      </c>
      <c r="G86">
        <f t="shared" si="4"/>
        <v>2020</v>
      </c>
      <c r="H86">
        <f t="shared" si="5"/>
        <v>3</v>
      </c>
      <c r="I86">
        <f t="shared" si="6"/>
        <v>25</v>
      </c>
      <c r="J86" t="str">
        <f t="shared" si="7"/>
        <v>American</v>
      </c>
    </row>
    <row r="87" spans="1:10" x14ac:dyDescent="0.3">
      <c r="A87" t="s">
        <v>7</v>
      </c>
      <c r="B87" s="2">
        <v>43916</v>
      </c>
      <c r="C87" s="4">
        <v>13791.77835206117</v>
      </c>
      <c r="D87" s="4">
        <v>5608.8438344754504</v>
      </c>
      <c r="E87" t="s">
        <v>11</v>
      </c>
      <c r="F87" s="4">
        <v>234.43809070250671</v>
      </c>
      <c r="G87">
        <f t="shared" si="4"/>
        <v>2020</v>
      </c>
      <c r="H87">
        <f t="shared" si="5"/>
        <v>3</v>
      </c>
      <c r="I87">
        <f t="shared" si="6"/>
        <v>26</v>
      </c>
      <c r="J87" t="str">
        <f t="shared" si="7"/>
        <v>Non-American</v>
      </c>
    </row>
    <row r="88" spans="1:10" x14ac:dyDescent="0.3">
      <c r="A88" t="s">
        <v>6</v>
      </c>
      <c r="B88" s="2">
        <v>43917</v>
      </c>
      <c r="C88" s="4">
        <v>12357.5591423193</v>
      </c>
      <c r="D88" s="4">
        <v>3954.7466338530448</v>
      </c>
      <c r="E88" t="s">
        <v>12</v>
      </c>
      <c r="F88" s="4">
        <v>651.33280825732049</v>
      </c>
      <c r="G88">
        <f t="shared" si="4"/>
        <v>2020</v>
      </c>
      <c r="H88">
        <f t="shared" si="5"/>
        <v>3</v>
      </c>
      <c r="I88">
        <f t="shared" si="6"/>
        <v>27</v>
      </c>
      <c r="J88" t="str">
        <f t="shared" si="7"/>
        <v>American</v>
      </c>
    </row>
    <row r="89" spans="1:10" x14ac:dyDescent="0.3">
      <c r="A89" t="s">
        <v>7</v>
      </c>
      <c r="B89" s="2">
        <v>43918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  <c r="G89">
        <f t="shared" si="4"/>
        <v>2020</v>
      </c>
      <c r="H89">
        <f t="shared" si="5"/>
        <v>3</v>
      </c>
      <c r="I89">
        <f t="shared" si="6"/>
        <v>28</v>
      </c>
      <c r="J89" t="str">
        <f t="shared" si="7"/>
        <v>Non-American</v>
      </c>
    </row>
    <row r="90" spans="1:10" x14ac:dyDescent="0.3">
      <c r="A90" t="s">
        <v>7</v>
      </c>
      <c r="B90" s="2">
        <v>43919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  <c r="G90">
        <f t="shared" si="4"/>
        <v>2020</v>
      </c>
      <c r="H90">
        <f t="shared" si="5"/>
        <v>3</v>
      </c>
      <c r="I90">
        <f t="shared" si="6"/>
        <v>29</v>
      </c>
      <c r="J90" t="str">
        <f t="shared" si="7"/>
        <v>Non-American</v>
      </c>
    </row>
    <row r="91" spans="1:10" x14ac:dyDescent="0.3">
      <c r="A91" t="s">
        <v>8</v>
      </c>
      <c r="B91" s="2">
        <v>43920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  <c r="G91">
        <f t="shared" si="4"/>
        <v>2020</v>
      </c>
      <c r="H91">
        <f t="shared" si="5"/>
        <v>3</v>
      </c>
      <c r="I91">
        <f t="shared" si="6"/>
        <v>30</v>
      </c>
      <c r="J91" t="str">
        <f t="shared" si="7"/>
        <v>American</v>
      </c>
    </row>
    <row r="92" spans="1:10" x14ac:dyDescent="0.3">
      <c r="A92" t="s">
        <v>7</v>
      </c>
      <c r="B92" s="2">
        <v>43921</v>
      </c>
      <c r="C92" s="4">
        <v>9193.6461060536403</v>
      </c>
      <c r="D92" s="4">
        <v>4371.912440358421</v>
      </c>
      <c r="E92" t="s">
        <v>11</v>
      </c>
      <c r="F92" s="4">
        <v>397.00647166910232</v>
      </c>
      <c r="G92">
        <f t="shared" si="4"/>
        <v>2020</v>
      </c>
      <c r="H92">
        <f t="shared" si="5"/>
        <v>3</v>
      </c>
      <c r="I92">
        <f t="shared" si="6"/>
        <v>31</v>
      </c>
      <c r="J92" t="str">
        <f t="shared" si="7"/>
        <v>Non-American</v>
      </c>
    </row>
    <row r="93" spans="1:10" x14ac:dyDescent="0.3">
      <c r="A93" t="s">
        <v>8</v>
      </c>
      <c r="B93" s="2">
        <v>43922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  <c r="G93">
        <f t="shared" si="4"/>
        <v>2020</v>
      </c>
      <c r="H93">
        <f t="shared" si="5"/>
        <v>4</v>
      </c>
      <c r="I93">
        <f t="shared" si="6"/>
        <v>1</v>
      </c>
      <c r="J93" t="str">
        <f t="shared" si="7"/>
        <v>American</v>
      </c>
    </row>
    <row r="94" spans="1:10" x14ac:dyDescent="0.3">
      <c r="A94" t="s">
        <v>9</v>
      </c>
      <c r="B94" s="2">
        <v>43923</v>
      </c>
      <c r="C94" s="4">
        <v>10416.54995615372</v>
      </c>
      <c r="D94" s="4">
        <v>7303.9166976839424</v>
      </c>
      <c r="E94" t="s">
        <v>10</v>
      </c>
      <c r="F94" s="4">
        <v>610.02843382203741</v>
      </c>
      <c r="G94">
        <f t="shared" si="4"/>
        <v>2020</v>
      </c>
      <c r="H94">
        <f t="shared" si="5"/>
        <v>4</v>
      </c>
      <c r="I94">
        <f t="shared" si="6"/>
        <v>2</v>
      </c>
      <c r="J94" t="str">
        <f t="shared" si="7"/>
        <v>Non-American</v>
      </c>
    </row>
    <row r="95" spans="1:10" x14ac:dyDescent="0.3">
      <c r="A95" t="s">
        <v>6</v>
      </c>
      <c r="B95" s="2">
        <v>43924</v>
      </c>
      <c r="C95" s="4">
        <v>11953.27807296743</v>
      </c>
      <c r="D95" s="4">
        <v>3939.984177278453</v>
      </c>
      <c r="E95" t="s">
        <v>11</v>
      </c>
      <c r="F95" s="4">
        <v>629.80219723262212</v>
      </c>
      <c r="G95">
        <f t="shared" si="4"/>
        <v>2020</v>
      </c>
      <c r="H95">
        <f t="shared" si="5"/>
        <v>4</v>
      </c>
      <c r="I95">
        <f t="shared" si="6"/>
        <v>3</v>
      </c>
      <c r="J95" t="str">
        <f t="shared" si="7"/>
        <v>American</v>
      </c>
    </row>
    <row r="96" spans="1:10" x14ac:dyDescent="0.3">
      <c r="A96" t="s">
        <v>9</v>
      </c>
      <c r="B96" s="2">
        <v>43925</v>
      </c>
      <c r="C96" s="4">
        <v>10712.7327943488</v>
      </c>
      <c r="D96" s="4">
        <v>4864.0502993216796</v>
      </c>
      <c r="E96" t="s">
        <v>13</v>
      </c>
      <c r="F96" s="4">
        <v>769.62240525635798</v>
      </c>
      <c r="G96">
        <f t="shared" si="4"/>
        <v>2020</v>
      </c>
      <c r="H96">
        <f t="shared" si="5"/>
        <v>4</v>
      </c>
      <c r="I96">
        <f t="shared" si="6"/>
        <v>4</v>
      </c>
      <c r="J96" t="str">
        <f t="shared" si="7"/>
        <v>Non-American</v>
      </c>
    </row>
    <row r="97" spans="1:10" x14ac:dyDescent="0.3">
      <c r="A97" t="s">
        <v>6</v>
      </c>
      <c r="B97" s="2">
        <v>43926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  <c r="G97">
        <f t="shared" si="4"/>
        <v>2020</v>
      </c>
      <c r="H97">
        <f t="shared" si="5"/>
        <v>4</v>
      </c>
      <c r="I97">
        <f t="shared" si="6"/>
        <v>5</v>
      </c>
      <c r="J97" t="str">
        <f t="shared" si="7"/>
        <v>American</v>
      </c>
    </row>
    <row r="98" spans="1:10" x14ac:dyDescent="0.3">
      <c r="A98" t="s">
        <v>7</v>
      </c>
      <c r="B98" s="2">
        <v>43927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  <c r="G98">
        <f t="shared" si="4"/>
        <v>2020</v>
      </c>
      <c r="H98">
        <f t="shared" si="5"/>
        <v>4</v>
      </c>
      <c r="I98">
        <f t="shared" si="6"/>
        <v>6</v>
      </c>
      <c r="J98" t="str">
        <f t="shared" si="7"/>
        <v>Non-American</v>
      </c>
    </row>
    <row r="99" spans="1:10" x14ac:dyDescent="0.3">
      <c r="A99" t="s">
        <v>8</v>
      </c>
      <c r="B99" s="2">
        <v>43928</v>
      </c>
      <c r="C99" s="4">
        <v>13571.74098781167</v>
      </c>
      <c r="D99" s="4">
        <v>5582.9536797532937</v>
      </c>
      <c r="E99" t="s">
        <v>11</v>
      </c>
      <c r="F99" s="4">
        <v>448.57660340600108</v>
      </c>
      <c r="G99">
        <f t="shared" si="4"/>
        <v>2020</v>
      </c>
      <c r="H99">
        <f t="shared" si="5"/>
        <v>4</v>
      </c>
      <c r="I99">
        <f t="shared" si="6"/>
        <v>7</v>
      </c>
      <c r="J99" t="str">
        <f t="shared" si="7"/>
        <v>American</v>
      </c>
    </row>
    <row r="100" spans="1:10" x14ac:dyDescent="0.3">
      <c r="A100" t="s">
        <v>7</v>
      </c>
      <c r="B100" s="2">
        <v>43929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  <c r="G100">
        <f t="shared" si="4"/>
        <v>2020</v>
      </c>
      <c r="H100">
        <f t="shared" si="5"/>
        <v>4</v>
      </c>
      <c r="I100">
        <f t="shared" si="6"/>
        <v>8</v>
      </c>
      <c r="J100" t="str">
        <f t="shared" si="7"/>
        <v>Non-American</v>
      </c>
    </row>
    <row r="101" spans="1:10" x14ac:dyDescent="0.3">
      <c r="A101" t="s">
        <v>6</v>
      </c>
      <c r="B101" s="2">
        <v>43930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  <c r="G101">
        <f t="shared" si="4"/>
        <v>2020</v>
      </c>
      <c r="H101">
        <f t="shared" si="5"/>
        <v>4</v>
      </c>
      <c r="I101">
        <f t="shared" si="6"/>
        <v>9</v>
      </c>
      <c r="J101" t="str">
        <f t="shared" si="7"/>
        <v>American</v>
      </c>
    </row>
    <row r="102" spans="1:10" x14ac:dyDescent="0.3">
      <c r="A102" t="s">
        <v>6</v>
      </c>
      <c r="B102" s="2">
        <v>43931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  <c r="G102">
        <f t="shared" si="4"/>
        <v>2020</v>
      </c>
      <c r="H102">
        <f t="shared" si="5"/>
        <v>4</v>
      </c>
      <c r="I102">
        <f t="shared" si="6"/>
        <v>10</v>
      </c>
      <c r="J102" t="str">
        <f t="shared" si="7"/>
        <v>American</v>
      </c>
    </row>
    <row r="103" spans="1:10" x14ac:dyDescent="0.3">
      <c r="A103" t="s">
        <v>7</v>
      </c>
      <c r="B103" s="2">
        <v>43932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  <c r="G103">
        <f t="shared" si="4"/>
        <v>2020</v>
      </c>
      <c r="H103">
        <f t="shared" si="5"/>
        <v>4</v>
      </c>
      <c r="I103">
        <f t="shared" si="6"/>
        <v>11</v>
      </c>
      <c r="J103" t="str">
        <f t="shared" si="7"/>
        <v>Non-American</v>
      </c>
    </row>
    <row r="104" spans="1:10" x14ac:dyDescent="0.3">
      <c r="A104" t="s">
        <v>6</v>
      </c>
      <c r="B104" s="2">
        <v>43933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  <c r="G104">
        <f t="shared" si="4"/>
        <v>2020</v>
      </c>
      <c r="H104">
        <f t="shared" si="5"/>
        <v>4</v>
      </c>
      <c r="I104">
        <f t="shared" si="6"/>
        <v>12</v>
      </c>
      <c r="J104" t="str">
        <f t="shared" si="7"/>
        <v>American</v>
      </c>
    </row>
    <row r="105" spans="1:10" x14ac:dyDescent="0.3">
      <c r="A105" t="s">
        <v>6</v>
      </c>
      <c r="B105" s="2">
        <v>43934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  <c r="G105">
        <f t="shared" si="4"/>
        <v>2020</v>
      </c>
      <c r="H105">
        <f t="shared" si="5"/>
        <v>4</v>
      </c>
      <c r="I105">
        <f t="shared" si="6"/>
        <v>13</v>
      </c>
      <c r="J105" t="str">
        <f t="shared" si="7"/>
        <v>American</v>
      </c>
    </row>
    <row r="106" spans="1:10" x14ac:dyDescent="0.3">
      <c r="A106" t="s">
        <v>9</v>
      </c>
      <c r="B106" s="2">
        <v>43935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  <c r="G106">
        <f t="shared" si="4"/>
        <v>2020</v>
      </c>
      <c r="H106">
        <f t="shared" si="5"/>
        <v>4</v>
      </c>
      <c r="I106">
        <f t="shared" si="6"/>
        <v>14</v>
      </c>
      <c r="J106" t="str">
        <f t="shared" si="7"/>
        <v>Non-American</v>
      </c>
    </row>
    <row r="107" spans="1:10" x14ac:dyDescent="0.3">
      <c r="A107" t="s">
        <v>7</v>
      </c>
      <c r="B107" s="2">
        <v>43936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  <c r="G107">
        <f t="shared" si="4"/>
        <v>2020</v>
      </c>
      <c r="H107">
        <f t="shared" si="5"/>
        <v>4</v>
      </c>
      <c r="I107">
        <f t="shared" si="6"/>
        <v>15</v>
      </c>
      <c r="J107" t="str">
        <f t="shared" si="7"/>
        <v>Non-American</v>
      </c>
    </row>
    <row r="108" spans="1:10" x14ac:dyDescent="0.3">
      <c r="A108" t="s">
        <v>9</v>
      </c>
      <c r="B108" s="2">
        <v>43937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  <c r="G108">
        <f t="shared" si="4"/>
        <v>2020</v>
      </c>
      <c r="H108">
        <f t="shared" si="5"/>
        <v>4</v>
      </c>
      <c r="I108">
        <f t="shared" si="6"/>
        <v>16</v>
      </c>
      <c r="J108" t="str">
        <f t="shared" si="7"/>
        <v>Non-American</v>
      </c>
    </row>
    <row r="109" spans="1:10" x14ac:dyDescent="0.3">
      <c r="A109" t="s">
        <v>7</v>
      </c>
      <c r="B109" s="2">
        <v>43938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  <c r="G109">
        <f t="shared" si="4"/>
        <v>2020</v>
      </c>
      <c r="H109">
        <f t="shared" si="5"/>
        <v>4</v>
      </c>
      <c r="I109">
        <f t="shared" si="6"/>
        <v>17</v>
      </c>
      <c r="J109" t="str">
        <f t="shared" si="7"/>
        <v>Non-American</v>
      </c>
    </row>
    <row r="110" spans="1:10" x14ac:dyDescent="0.3">
      <c r="A110" t="s">
        <v>9</v>
      </c>
      <c r="B110" s="2">
        <v>43939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  <c r="G110">
        <f t="shared" si="4"/>
        <v>2020</v>
      </c>
      <c r="H110">
        <f t="shared" si="5"/>
        <v>4</v>
      </c>
      <c r="I110">
        <f t="shared" si="6"/>
        <v>18</v>
      </c>
      <c r="J110" t="str">
        <f t="shared" si="7"/>
        <v>Non-American</v>
      </c>
    </row>
    <row r="111" spans="1:10" x14ac:dyDescent="0.3">
      <c r="A111" t="s">
        <v>8</v>
      </c>
      <c r="B111" s="2">
        <v>43940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  <c r="G111">
        <f t="shared" si="4"/>
        <v>2020</v>
      </c>
      <c r="H111">
        <f t="shared" si="5"/>
        <v>4</v>
      </c>
      <c r="I111">
        <f t="shared" si="6"/>
        <v>19</v>
      </c>
      <c r="J111" t="str">
        <f t="shared" si="7"/>
        <v>American</v>
      </c>
    </row>
    <row r="112" spans="1:10" x14ac:dyDescent="0.3">
      <c r="A112" t="s">
        <v>6</v>
      </c>
      <c r="B112" s="2">
        <v>43941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  <c r="G112">
        <f t="shared" si="4"/>
        <v>2020</v>
      </c>
      <c r="H112">
        <f t="shared" si="5"/>
        <v>4</v>
      </c>
      <c r="I112">
        <f t="shared" si="6"/>
        <v>20</v>
      </c>
      <c r="J112" t="str">
        <f t="shared" si="7"/>
        <v>American</v>
      </c>
    </row>
    <row r="113" spans="1:10" x14ac:dyDescent="0.3">
      <c r="A113" t="s">
        <v>6</v>
      </c>
      <c r="B113" s="2">
        <v>43942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  <c r="G113">
        <f t="shared" si="4"/>
        <v>2020</v>
      </c>
      <c r="H113">
        <f t="shared" si="5"/>
        <v>4</v>
      </c>
      <c r="I113">
        <f t="shared" si="6"/>
        <v>21</v>
      </c>
      <c r="J113" t="str">
        <f t="shared" si="7"/>
        <v>American</v>
      </c>
    </row>
    <row r="114" spans="1:10" x14ac:dyDescent="0.3">
      <c r="A114" t="s">
        <v>7</v>
      </c>
      <c r="B114" s="2">
        <v>43943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  <c r="G114">
        <f t="shared" si="4"/>
        <v>2020</v>
      </c>
      <c r="H114">
        <f t="shared" si="5"/>
        <v>4</v>
      </c>
      <c r="I114">
        <f t="shared" si="6"/>
        <v>22</v>
      </c>
      <c r="J114" t="str">
        <f t="shared" si="7"/>
        <v>Non-American</v>
      </c>
    </row>
    <row r="115" spans="1:10" x14ac:dyDescent="0.3">
      <c r="A115" t="s">
        <v>7</v>
      </c>
      <c r="B115" s="2">
        <v>43944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  <c r="G115">
        <f t="shared" si="4"/>
        <v>2020</v>
      </c>
      <c r="H115">
        <f t="shared" si="5"/>
        <v>4</v>
      </c>
      <c r="I115">
        <f t="shared" si="6"/>
        <v>23</v>
      </c>
      <c r="J115" t="str">
        <f t="shared" si="7"/>
        <v>Non-American</v>
      </c>
    </row>
    <row r="116" spans="1:10" x14ac:dyDescent="0.3">
      <c r="A116" t="s">
        <v>7</v>
      </c>
      <c r="B116" s="2">
        <v>43945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  <c r="G116">
        <f t="shared" si="4"/>
        <v>2020</v>
      </c>
      <c r="H116">
        <f t="shared" si="5"/>
        <v>4</v>
      </c>
      <c r="I116">
        <f t="shared" si="6"/>
        <v>24</v>
      </c>
      <c r="J116" t="str">
        <f t="shared" si="7"/>
        <v>Non-American</v>
      </c>
    </row>
    <row r="117" spans="1:10" x14ac:dyDescent="0.3">
      <c r="A117" t="s">
        <v>9</v>
      </c>
      <c r="B117" s="2">
        <v>43946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  <c r="G117">
        <f t="shared" si="4"/>
        <v>2020</v>
      </c>
      <c r="H117">
        <f t="shared" si="5"/>
        <v>4</v>
      </c>
      <c r="I117">
        <f t="shared" si="6"/>
        <v>25</v>
      </c>
      <c r="J117" t="str">
        <f t="shared" si="7"/>
        <v>Non-American</v>
      </c>
    </row>
    <row r="118" spans="1:10" x14ac:dyDescent="0.3">
      <c r="A118" t="s">
        <v>7</v>
      </c>
      <c r="B118" s="2">
        <v>43947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  <c r="G118">
        <f t="shared" si="4"/>
        <v>2020</v>
      </c>
      <c r="H118">
        <f t="shared" si="5"/>
        <v>4</v>
      </c>
      <c r="I118">
        <f t="shared" si="6"/>
        <v>26</v>
      </c>
      <c r="J118" t="str">
        <f t="shared" si="7"/>
        <v>Non-American</v>
      </c>
    </row>
    <row r="119" spans="1:10" x14ac:dyDescent="0.3">
      <c r="A119" t="s">
        <v>6</v>
      </c>
      <c r="B119" s="2">
        <v>43948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  <c r="G119">
        <f t="shared" si="4"/>
        <v>2020</v>
      </c>
      <c r="H119">
        <f t="shared" si="5"/>
        <v>4</v>
      </c>
      <c r="I119">
        <f t="shared" si="6"/>
        <v>27</v>
      </c>
      <c r="J119" t="str">
        <f t="shared" si="7"/>
        <v>American</v>
      </c>
    </row>
    <row r="120" spans="1:10" x14ac:dyDescent="0.3">
      <c r="A120" t="s">
        <v>7</v>
      </c>
      <c r="B120" s="2">
        <v>43949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  <c r="G120">
        <f t="shared" si="4"/>
        <v>2020</v>
      </c>
      <c r="H120">
        <f t="shared" si="5"/>
        <v>4</v>
      </c>
      <c r="I120">
        <f t="shared" si="6"/>
        <v>28</v>
      </c>
      <c r="J120" t="str">
        <f t="shared" si="7"/>
        <v>Non-American</v>
      </c>
    </row>
    <row r="121" spans="1:10" x14ac:dyDescent="0.3">
      <c r="A121" t="s">
        <v>6</v>
      </c>
      <c r="B121" s="2">
        <v>43950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  <c r="G121">
        <f t="shared" si="4"/>
        <v>2020</v>
      </c>
      <c r="H121">
        <f t="shared" si="5"/>
        <v>4</v>
      </c>
      <c r="I121">
        <f t="shared" si="6"/>
        <v>29</v>
      </c>
      <c r="J121" t="str">
        <f t="shared" si="7"/>
        <v>American</v>
      </c>
    </row>
    <row r="122" spans="1:10" x14ac:dyDescent="0.3">
      <c r="A122" t="s">
        <v>9</v>
      </c>
      <c r="B122" s="2">
        <v>43951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  <c r="G122">
        <f t="shared" si="4"/>
        <v>2020</v>
      </c>
      <c r="H122">
        <f t="shared" si="5"/>
        <v>4</v>
      </c>
      <c r="I122">
        <f t="shared" si="6"/>
        <v>30</v>
      </c>
      <c r="J122" t="str">
        <f t="shared" si="7"/>
        <v>Non-American</v>
      </c>
    </row>
    <row r="123" spans="1:10" x14ac:dyDescent="0.3">
      <c r="A123" t="s">
        <v>6</v>
      </c>
      <c r="B123" s="2">
        <v>43952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  <c r="G123">
        <f t="shared" si="4"/>
        <v>2020</v>
      </c>
      <c r="H123">
        <f t="shared" si="5"/>
        <v>5</v>
      </c>
      <c r="I123">
        <f t="shared" si="6"/>
        <v>1</v>
      </c>
      <c r="J123" t="str">
        <f t="shared" si="7"/>
        <v>American</v>
      </c>
    </row>
    <row r="124" spans="1:10" x14ac:dyDescent="0.3">
      <c r="A124" t="s">
        <v>8</v>
      </c>
      <c r="B124" s="2">
        <v>43953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  <c r="G124">
        <f t="shared" si="4"/>
        <v>2020</v>
      </c>
      <c r="H124">
        <f t="shared" si="5"/>
        <v>5</v>
      </c>
      <c r="I124">
        <f t="shared" si="6"/>
        <v>2</v>
      </c>
      <c r="J124" t="str">
        <f t="shared" si="7"/>
        <v>American</v>
      </c>
    </row>
    <row r="125" spans="1:10" x14ac:dyDescent="0.3">
      <c r="A125" t="s">
        <v>6</v>
      </c>
      <c r="B125" s="2">
        <v>43954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  <c r="G125">
        <f t="shared" si="4"/>
        <v>2020</v>
      </c>
      <c r="H125">
        <f t="shared" si="5"/>
        <v>5</v>
      </c>
      <c r="I125">
        <f t="shared" si="6"/>
        <v>3</v>
      </c>
      <c r="J125" t="str">
        <f t="shared" si="7"/>
        <v>American</v>
      </c>
    </row>
    <row r="126" spans="1:10" x14ac:dyDescent="0.3">
      <c r="A126" t="s">
        <v>8</v>
      </c>
      <c r="B126" s="2">
        <v>43955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  <c r="G126">
        <f t="shared" si="4"/>
        <v>2020</v>
      </c>
      <c r="H126">
        <f t="shared" si="5"/>
        <v>5</v>
      </c>
      <c r="I126">
        <f t="shared" si="6"/>
        <v>4</v>
      </c>
      <c r="J126" t="str">
        <f t="shared" si="7"/>
        <v>American</v>
      </c>
    </row>
    <row r="127" spans="1:10" x14ac:dyDescent="0.3">
      <c r="A127" t="s">
        <v>9</v>
      </c>
      <c r="B127" s="2">
        <v>43956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  <c r="G127">
        <f t="shared" si="4"/>
        <v>2020</v>
      </c>
      <c r="H127">
        <f t="shared" si="5"/>
        <v>5</v>
      </c>
      <c r="I127">
        <f t="shared" si="6"/>
        <v>5</v>
      </c>
      <c r="J127" t="str">
        <f t="shared" si="7"/>
        <v>Non-American</v>
      </c>
    </row>
    <row r="128" spans="1:10" x14ac:dyDescent="0.3">
      <c r="A128" t="s">
        <v>6</v>
      </c>
      <c r="B128" s="2">
        <v>43957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  <c r="G128">
        <f t="shared" si="4"/>
        <v>2020</v>
      </c>
      <c r="H128">
        <f t="shared" si="5"/>
        <v>5</v>
      </c>
      <c r="I128">
        <f t="shared" si="6"/>
        <v>6</v>
      </c>
      <c r="J128" t="str">
        <f t="shared" si="7"/>
        <v>American</v>
      </c>
    </row>
    <row r="129" spans="1:10" x14ac:dyDescent="0.3">
      <c r="A129" t="s">
        <v>9</v>
      </c>
      <c r="B129" s="2">
        <v>43958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  <c r="G129">
        <f t="shared" si="4"/>
        <v>2020</v>
      </c>
      <c r="H129">
        <f t="shared" si="5"/>
        <v>5</v>
      </c>
      <c r="I129">
        <f t="shared" si="6"/>
        <v>7</v>
      </c>
      <c r="J129" t="str">
        <f t="shared" si="7"/>
        <v>Non-American</v>
      </c>
    </row>
    <row r="130" spans="1:10" x14ac:dyDescent="0.3">
      <c r="A130" t="s">
        <v>9</v>
      </c>
      <c r="B130" s="2">
        <v>43959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  <c r="G130">
        <f t="shared" si="4"/>
        <v>2020</v>
      </c>
      <c r="H130">
        <f t="shared" si="5"/>
        <v>5</v>
      </c>
      <c r="I130">
        <f t="shared" si="6"/>
        <v>8</v>
      </c>
      <c r="J130" t="str">
        <f t="shared" si="7"/>
        <v>Non-American</v>
      </c>
    </row>
    <row r="131" spans="1:10" x14ac:dyDescent="0.3">
      <c r="A131" t="s">
        <v>8</v>
      </c>
      <c r="B131" s="2">
        <v>43960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  <c r="G131">
        <f t="shared" ref="G131:G194" si="8">YEAR(B131)</f>
        <v>2020</v>
      </c>
      <c r="H131">
        <f t="shared" ref="H131:H194" si="9">MONTH(B131)</f>
        <v>5</v>
      </c>
      <c r="I131">
        <f t="shared" ref="I131:I194" si="10">DAY(B131)</f>
        <v>9</v>
      </c>
      <c r="J131" t="str">
        <f t="shared" ref="J131:J194" si="11">IF(OR(A131="North America", A131="South America"), "American", "Non-American")</f>
        <v>American</v>
      </c>
    </row>
    <row r="132" spans="1:10" x14ac:dyDescent="0.3">
      <c r="A132" t="s">
        <v>9</v>
      </c>
      <c r="B132" s="2">
        <v>43961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  <c r="G132">
        <f t="shared" si="8"/>
        <v>2020</v>
      </c>
      <c r="H132">
        <f t="shared" si="9"/>
        <v>5</v>
      </c>
      <c r="I132">
        <f t="shared" si="10"/>
        <v>10</v>
      </c>
      <c r="J132" t="str">
        <f t="shared" si="11"/>
        <v>Non-American</v>
      </c>
    </row>
    <row r="133" spans="1:10" x14ac:dyDescent="0.3">
      <c r="A133" t="s">
        <v>6</v>
      </c>
      <c r="B133" s="2">
        <v>43962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  <c r="G133">
        <f t="shared" si="8"/>
        <v>2020</v>
      </c>
      <c r="H133">
        <f t="shared" si="9"/>
        <v>5</v>
      </c>
      <c r="I133">
        <f t="shared" si="10"/>
        <v>11</v>
      </c>
      <c r="J133" t="str">
        <f t="shared" si="11"/>
        <v>American</v>
      </c>
    </row>
    <row r="134" spans="1:10" x14ac:dyDescent="0.3">
      <c r="A134" t="s">
        <v>8</v>
      </c>
      <c r="B134" s="2">
        <v>43963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  <c r="G134">
        <f t="shared" si="8"/>
        <v>2020</v>
      </c>
      <c r="H134">
        <f t="shared" si="9"/>
        <v>5</v>
      </c>
      <c r="I134">
        <f t="shared" si="10"/>
        <v>12</v>
      </c>
      <c r="J134" t="str">
        <f t="shared" si="11"/>
        <v>American</v>
      </c>
    </row>
    <row r="135" spans="1:10" x14ac:dyDescent="0.3">
      <c r="A135" t="s">
        <v>9</v>
      </c>
      <c r="B135" s="2">
        <v>43964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  <c r="G135">
        <f t="shared" si="8"/>
        <v>2020</v>
      </c>
      <c r="H135">
        <f t="shared" si="9"/>
        <v>5</v>
      </c>
      <c r="I135">
        <f t="shared" si="10"/>
        <v>13</v>
      </c>
      <c r="J135" t="str">
        <f t="shared" si="11"/>
        <v>Non-American</v>
      </c>
    </row>
    <row r="136" spans="1:10" x14ac:dyDescent="0.3">
      <c r="A136" t="s">
        <v>7</v>
      </c>
      <c r="B136" s="2">
        <v>43965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  <c r="G136">
        <f t="shared" si="8"/>
        <v>2020</v>
      </c>
      <c r="H136">
        <f t="shared" si="9"/>
        <v>5</v>
      </c>
      <c r="I136">
        <f t="shared" si="10"/>
        <v>14</v>
      </c>
      <c r="J136" t="str">
        <f t="shared" si="11"/>
        <v>Non-American</v>
      </c>
    </row>
    <row r="137" spans="1:10" x14ac:dyDescent="0.3">
      <c r="A137" t="s">
        <v>8</v>
      </c>
      <c r="B137" s="2">
        <v>43966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  <c r="G137">
        <f t="shared" si="8"/>
        <v>2020</v>
      </c>
      <c r="H137">
        <f t="shared" si="9"/>
        <v>5</v>
      </c>
      <c r="I137">
        <f t="shared" si="10"/>
        <v>15</v>
      </c>
      <c r="J137" t="str">
        <f t="shared" si="11"/>
        <v>American</v>
      </c>
    </row>
    <row r="138" spans="1:10" x14ac:dyDescent="0.3">
      <c r="A138" t="s">
        <v>6</v>
      </c>
      <c r="B138" s="2">
        <v>43967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  <c r="G138">
        <f t="shared" si="8"/>
        <v>2020</v>
      </c>
      <c r="H138">
        <f t="shared" si="9"/>
        <v>5</v>
      </c>
      <c r="I138">
        <f t="shared" si="10"/>
        <v>16</v>
      </c>
      <c r="J138" t="str">
        <f t="shared" si="11"/>
        <v>American</v>
      </c>
    </row>
    <row r="139" spans="1:10" x14ac:dyDescent="0.3">
      <c r="A139" t="s">
        <v>6</v>
      </c>
      <c r="B139" s="2">
        <v>43968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  <c r="G139">
        <f t="shared" si="8"/>
        <v>2020</v>
      </c>
      <c r="H139">
        <f t="shared" si="9"/>
        <v>5</v>
      </c>
      <c r="I139">
        <f t="shared" si="10"/>
        <v>17</v>
      </c>
      <c r="J139" t="str">
        <f t="shared" si="11"/>
        <v>American</v>
      </c>
    </row>
    <row r="140" spans="1:10" x14ac:dyDescent="0.3">
      <c r="A140" t="s">
        <v>7</v>
      </c>
      <c r="B140" s="2">
        <v>43969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  <c r="G140">
        <f t="shared" si="8"/>
        <v>2020</v>
      </c>
      <c r="H140">
        <f t="shared" si="9"/>
        <v>5</v>
      </c>
      <c r="I140">
        <f t="shared" si="10"/>
        <v>18</v>
      </c>
      <c r="J140" t="str">
        <f t="shared" si="11"/>
        <v>Non-American</v>
      </c>
    </row>
    <row r="141" spans="1:10" x14ac:dyDescent="0.3">
      <c r="A141" t="s">
        <v>8</v>
      </c>
      <c r="B141" s="2">
        <v>43970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  <c r="G141">
        <f t="shared" si="8"/>
        <v>2020</v>
      </c>
      <c r="H141">
        <f t="shared" si="9"/>
        <v>5</v>
      </c>
      <c r="I141">
        <f t="shared" si="10"/>
        <v>19</v>
      </c>
      <c r="J141" t="str">
        <f t="shared" si="11"/>
        <v>American</v>
      </c>
    </row>
    <row r="142" spans="1:10" x14ac:dyDescent="0.3">
      <c r="A142" t="s">
        <v>7</v>
      </c>
      <c r="B142" s="2">
        <v>43971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  <c r="G142">
        <f t="shared" si="8"/>
        <v>2020</v>
      </c>
      <c r="H142">
        <f t="shared" si="9"/>
        <v>5</v>
      </c>
      <c r="I142">
        <f t="shared" si="10"/>
        <v>20</v>
      </c>
      <c r="J142" t="str">
        <f t="shared" si="11"/>
        <v>Non-American</v>
      </c>
    </row>
    <row r="143" spans="1:10" x14ac:dyDescent="0.3">
      <c r="A143" t="s">
        <v>8</v>
      </c>
      <c r="B143" s="2">
        <v>43972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  <c r="G143">
        <f t="shared" si="8"/>
        <v>2020</v>
      </c>
      <c r="H143">
        <f t="shared" si="9"/>
        <v>5</v>
      </c>
      <c r="I143">
        <f t="shared" si="10"/>
        <v>21</v>
      </c>
      <c r="J143" t="str">
        <f t="shared" si="11"/>
        <v>American</v>
      </c>
    </row>
    <row r="144" spans="1:10" x14ac:dyDescent="0.3">
      <c r="A144" t="s">
        <v>8</v>
      </c>
      <c r="B144" s="2">
        <v>43973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  <c r="G144">
        <f t="shared" si="8"/>
        <v>2020</v>
      </c>
      <c r="H144">
        <f t="shared" si="9"/>
        <v>5</v>
      </c>
      <c r="I144">
        <f t="shared" si="10"/>
        <v>22</v>
      </c>
      <c r="J144" t="str">
        <f t="shared" si="11"/>
        <v>American</v>
      </c>
    </row>
    <row r="145" spans="1:10" x14ac:dyDescent="0.3">
      <c r="A145" t="s">
        <v>7</v>
      </c>
      <c r="B145" s="2">
        <v>43974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  <c r="G145">
        <f t="shared" si="8"/>
        <v>2020</v>
      </c>
      <c r="H145">
        <f t="shared" si="9"/>
        <v>5</v>
      </c>
      <c r="I145">
        <f t="shared" si="10"/>
        <v>23</v>
      </c>
      <c r="J145" t="str">
        <f t="shared" si="11"/>
        <v>Non-American</v>
      </c>
    </row>
    <row r="146" spans="1:10" x14ac:dyDescent="0.3">
      <c r="A146" t="s">
        <v>7</v>
      </c>
      <c r="B146" s="2">
        <v>43975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  <c r="G146">
        <f t="shared" si="8"/>
        <v>2020</v>
      </c>
      <c r="H146">
        <f t="shared" si="9"/>
        <v>5</v>
      </c>
      <c r="I146">
        <f t="shared" si="10"/>
        <v>24</v>
      </c>
      <c r="J146" t="str">
        <f t="shared" si="11"/>
        <v>Non-American</v>
      </c>
    </row>
    <row r="147" spans="1:10" x14ac:dyDescent="0.3">
      <c r="A147" t="s">
        <v>8</v>
      </c>
      <c r="B147" s="2">
        <v>43976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  <c r="G147">
        <f t="shared" si="8"/>
        <v>2020</v>
      </c>
      <c r="H147">
        <f t="shared" si="9"/>
        <v>5</v>
      </c>
      <c r="I147">
        <f t="shared" si="10"/>
        <v>25</v>
      </c>
      <c r="J147" t="str">
        <f t="shared" si="11"/>
        <v>American</v>
      </c>
    </row>
    <row r="148" spans="1:10" x14ac:dyDescent="0.3">
      <c r="A148" t="s">
        <v>9</v>
      </c>
      <c r="B148" s="2">
        <v>43977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  <c r="G148">
        <f t="shared" si="8"/>
        <v>2020</v>
      </c>
      <c r="H148">
        <f t="shared" si="9"/>
        <v>5</v>
      </c>
      <c r="I148">
        <f t="shared" si="10"/>
        <v>26</v>
      </c>
      <c r="J148" t="str">
        <f t="shared" si="11"/>
        <v>Non-American</v>
      </c>
    </row>
    <row r="149" spans="1:10" x14ac:dyDescent="0.3">
      <c r="A149" t="s">
        <v>8</v>
      </c>
      <c r="B149" s="2">
        <v>43978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  <c r="G149">
        <f t="shared" si="8"/>
        <v>2020</v>
      </c>
      <c r="H149">
        <f t="shared" si="9"/>
        <v>5</v>
      </c>
      <c r="I149">
        <f t="shared" si="10"/>
        <v>27</v>
      </c>
      <c r="J149" t="str">
        <f t="shared" si="11"/>
        <v>American</v>
      </c>
    </row>
    <row r="150" spans="1:10" x14ac:dyDescent="0.3">
      <c r="A150" t="s">
        <v>6</v>
      </c>
      <c r="B150" s="2">
        <v>43979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  <c r="G150">
        <f t="shared" si="8"/>
        <v>2020</v>
      </c>
      <c r="H150">
        <f t="shared" si="9"/>
        <v>5</v>
      </c>
      <c r="I150">
        <f t="shared" si="10"/>
        <v>28</v>
      </c>
      <c r="J150" t="str">
        <f t="shared" si="11"/>
        <v>American</v>
      </c>
    </row>
    <row r="151" spans="1:10" x14ac:dyDescent="0.3">
      <c r="A151" t="s">
        <v>6</v>
      </c>
      <c r="B151" s="2">
        <v>43980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  <c r="G151">
        <f t="shared" si="8"/>
        <v>2020</v>
      </c>
      <c r="H151">
        <f t="shared" si="9"/>
        <v>5</v>
      </c>
      <c r="I151">
        <f t="shared" si="10"/>
        <v>29</v>
      </c>
      <c r="J151" t="str">
        <f t="shared" si="11"/>
        <v>American</v>
      </c>
    </row>
    <row r="152" spans="1:10" x14ac:dyDescent="0.3">
      <c r="A152" t="s">
        <v>7</v>
      </c>
      <c r="B152" s="2">
        <v>43981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  <c r="G152">
        <f t="shared" si="8"/>
        <v>2020</v>
      </c>
      <c r="H152">
        <f t="shared" si="9"/>
        <v>5</v>
      </c>
      <c r="I152">
        <f t="shared" si="10"/>
        <v>30</v>
      </c>
      <c r="J152" t="str">
        <f t="shared" si="11"/>
        <v>Non-American</v>
      </c>
    </row>
    <row r="153" spans="1:10" x14ac:dyDescent="0.3">
      <c r="A153" t="s">
        <v>8</v>
      </c>
      <c r="B153" s="2">
        <v>43982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  <c r="G153">
        <f t="shared" si="8"/>
        <v>2020</v>
      </c>
      <c r="H153">
        <f t="shared" si="9"/>
        <v>5</v>
      </c>
      <c r="I153">
        <f t="shared" si="10"/>
        <v>31</v>
      </c>
      <c r="J153" t="str">
        <f t="shared" si="11"/>
        <v>American</v>
      </c>
    </row>
    <row r="154" spans="1:10" x14ac:dyDescent="0.3">
      <c r="A154" t="s">
        <v>9</v>
      </c>
      <c r="B154" s="2">
        <v>43983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  <c r="G154">
        <f t="shared" si="8"/>
        <v>2020</v>
      </c>
      <c r="H154">
        <f t="shared" si="9"/>
        <v>6</v>
      </c>
      <c r="I154">
        <f t="shared" si="10"/>
        <v>1</v>
      </c>
      <c r="J154" t="str">
        <f t="shared" si="11"/>
        <v>Non-American</v>
      </c>
    </row>
    <row r="155" spans="1:10" x14ac:dyDescent="0.3">
      <c r="A155" t="s">
        <v>9</v>
      </c>
      <c r="B155" s="2">
        <v>43984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  <c r="G155">
        <f t="shared" si="8"/>
        <v>2020</v>
      </c>
      <c r="H155">
        <f t="shared" si="9"/>
        <v>6</v>
      </c>
      <c r="I155">
        <f t="shared" si="10"/>
        <v>2</v>
      </c>
      <c r="J155" t="str">
        <f t="shared" si="11"/>
        <v>Non-American</v>
      </c>
    </row>
    <row r="156" spans="1:10" x14ac:dyDescent="0.3">
      <c r="A156" t="s">
        <v>7</v>
      </c>
      <c r="B156" s="2">
        <v>43985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  <c r="G156">
        <f t="shared" si="8"/>
        <v>2020</v>
      </c>
      <c r="H156">
        <f t="shared" si="9"/>
        <v>6</v>
      </c>
      <c r="I156">
        <f t="shared" si="10"/>
        <v>3</v>
      </c>
      <c r="J156" t="str">
        <f t="shared" si="11"/>
        <v>Non-American</v>
      </c>
    </row>
    <row r="157" spans="1:10" x14ac:dyDescent="0.3">
      <c r="A157" t="s">
        <v>7</v>
      </c>
      <c r="B157" s="2">
        <v>43986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  <c r="G157">
        <f t="shared" si="8"/>
        <v>2020</v>
      </c>
      <c r="H157">
        <f t="shared" si="9"/>
        <v>6</v>
      </c>
      <c r="I157">
        <f t="shared" si="10"/>
        <v>4</v>
      </c>
      <c r="J157" t="str">
        <f t="shared" si="11"/>
        <v>Non-American</v>
      </c>
    </row>
    <row r="158" spans="1:10" x14ac:dyDescent="0.3">
      <c r="A158" t="s">
        <v>7</v>
      </c>
      <c r="B158" s="2">
        <v>43987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  <c r="G158">
        <f t="shared" si="8"/>
        <v>2020</v>
      </c>
      <c r="H158">
        <f t="shared" si="9"/>
        <v>6</v>
      </c>
      <c r="I158">
        <f t="shared" si="10"/>
        <v>5</v>
      </c>
      <c r="J158" t="str">
        <f t="shared" si="11"/>
        <v>Non-American</v>
      </c>
    </row>
    <row r="159" spans="1:10" x14ac:dyDescent="0.3">
      <c r="A159" t="s">
        <v>7</v>
      </c>
      <c r="B159" s="2">
        <v>43988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  <c r="G159">
        <f t="shared" si="8"/>
        <v>2020</v>
      </c>
      <c r="H159">
        <f t="shared" si="9"/>
        <v>6</v>
      </c>
      <c r="I159">
        <f t="shared" si="10"/>
        <v>6</v>
      </c>
      <c r="J159" t="str">
        <f t="shared" si="11"/>
        <v>Non-American</v>
      </c>
    </row>
    <row r="160" spans="1:10" x14ac:dyDescent="0.3">
      <c r="A160" t="s">
        <v>9</v>
      </c>
      <c r="B160" s="2">
        <v>43989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  <c r="G160">
        <f t="shared" si="8"/>
        <v>2020</v>
      </c>
      <c r="H160">
        <f t="shared" si="9"/>
        <v>6</v>
      </c>
      <c r="I160">
        <f t="shared" si="10"/>
        <v>7</v>
      </c>
      <c r="J160" t="str">
        <f t="shared" si="11"/>
        <v>Non-American</v>
      </c>
    </row>
    <row r="161" spans="1:10" x14ac:dyDescent="0.3">
      <c r="A161" t="s">
        <v>6</v>
      </c>
      <c r="B161" s="2">
        <v>43990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  <c r="G161">
        <f t="shared" si="8"/>
        <v>2020</v>
      </c>
      <c r="H161">
        <f t="shared" si="9"/>
        <v>6</v>
      </c>
      <c r="I161">
        <f t="shared" si="10"/>
        <v>8</v>
      </c>
      <c r="J161" t="str">
        <f t="shared" si="11"/>
        <v>American</v>
      </c>
    </row>
    <row r="162" spans="1:10" x14ac:dyDescent="0.3">
      <c r="A162" t="s">
        <v>9</v>
      </c>
      <c r="B162" s="2">
        <v>43991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  <c r="G162">
        <f t="shared" si="8"/>
        <v>2020</v>
      </c>
      <c r="H162">
        <f t="shared" si="9"/>
        <v>6</v>
      </c>
      <c r="I162">
        <f t="shared" si="10"/>
        <v>9</v>
      </c>
      <c r="J162" t="str">
        <f t="shared" si="11"/>
        <v>Non-American</v>
      </c>
    </row>
    <row r="163" spans="1:10" x14ac:dyDescent="0.3">
      <c r="A163" t="s">
        <v>6</v>
      </c>
      <c r="B163" s="2">
        <v>43992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  <c r="G163">
        <f t="shared" si="8"/>
        <v>2020</v>
      </c>
      <c r="H163">
        <f t="shared" si="9"/>
        <v>6</v>
      </c>
      <c r="I163">
        <f t="shared" si="10"/>
        <v>10</v>
      </c>
      <c r="J163" t="str">
        <f t="shared" si="11"/>
        <v>American</v>
      </c>
    </row>
    <row r="164" spans="1:10" x14ac:dyDescent="0.3">
      <c r="A164" t="s">
        <v>6</v>
      </c>
      <c r="B164" s="2">
        <v>43993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  <c r="G164">
        <f t="shared" si="8"/>
        <v>2020</v>
      </c>
      <c r="H164">
        <f t="shared" si="9"/>
        <v>6</v>
      </c>
      <c r="I164">
        <f t="shared" si="10"/>
        <v>11</v>
      </c>
      <c r="J164" t="str">
        <f t="shared" si="11"/>
        <v>American</v>
      </c>
    </row>
    <row r="165" spans="1:10" x14ac:dyDescent="0.3">
      <c r="A165" t="s">
        <v>6</v>
      </c>
      <c r="B165" s="2">
        <v>43994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  <c r="G165">
        <f t="shared" si="8"/>
        <v>2020</v>
      </c>
      <c r="H165">
        <f t="shared" si="9"/>
        <v>6</v>
      </c>
      <c r="I165">
        <f t="shared" si="10"/>
        <v>12</v>
      </c>
      <c r="J165" t="str">
        <f t="shared" si="11"/>
        <v>American</v>
      </c>
    </row>
    <row r="166" spans="1:10" x14ac:dyDescent="0.3">
      <c r="A166" t="s">
        <v>9</v>
      </c>
      <c r="B166" s="2">
        <v>43995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  <c r="G166">
        <f t="shared" si="8"/>
        <v>2020</v>
      </c>
      <c r="H166">
        <f t="shared" si="9"/>
        <v>6</v>
      </c>
      <c r="I166">
        <f t="shared" si="10"/>
        <v>13</v>
      </c>
      <c r="J166" t="str">
        <f t="shared" si="11"/>
        <v>Non-American</v>
      </c>
    </row>
    <row r="167" spans="1:10" x14ac:dyDescent="0.3">
      <c r="A167" t="s">
        <v>8</v>
      </c>
      <c r="B167" s="2">
        <v>43996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  <c r="G167">
        <f t="shared" si="8"/>
        <v>2020</v>
      </c>
      <c r="H167">
        <f t="shared" si="9"/>
        <v>6</v>
      </c>
      <c r="I167">
        <f t="shared" si="10"/>
        <v>14</v>
      </c>
      <c r="J167" t="str">
        <f t="shared" si="11"/>
        <v>American</v>
      </c>
    </row>
    <row r="168" spans="1:10" x14ac:dyDescent="0.3">
      <c r="A168" t="s">
        <v>7</v>
      </c>
      <c r="B168" s="2">
        <v>43997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  <c r="G168">
        <f t="shared" si="8"/>
        <v>2020</v>
      </c>
      <c r="H168">
        <f t="shared" si="9"/>
        <v>6</v>
      </c>
      <c r="I168">
        <f t="shared" si="10"/>
        <v>15</v>
      </c>
      <c r="J168" t="str">
        <f t="shared" si="11"/>
        <v>Non-American</v>
      </c>
    </row>
    <row r="169" spans="1:10" x14ac:dyDescent="0.3">
      <c r="A169" t="s">
        <v>7</v>
      </c>
      <c r="B169" s="2">
        <v>43998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  <c r="G169">
        <f t="shared" si="8"/>
        <v>2020</v>
      </c>
      <c r="H169">
        <f t="shared" si="9"/>
        <v>6</v>
      </c>
      <c r="I169">
        <f t="shared" si="10"/>
        <v>16</v>
      </c>
      <c r="J169" t="str">
        <f t="shared" si="11"/>
        <v>Non-American</v>
      </c>
    </row>
    <row r="170" spans="1:10" x14ac:dyDescent="0.3">
      <c r="A170" t="s">
        <v>8</v>
      </c>
      <c r="B170" s="2">
        <v>43999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  <c r="G170">
        <f t="shared" si="8"/>
        <v>2020</v>
      </c>
      <c r="H170">
        <f t="shared" si="9"/>
        <v>6</v>
      </c>
      <c r="I170">
        <f t="shared" si="10"/>
        <v>17</v>
      </c>
      <c r="J170" t="str">
        <f t="shared" si="11"/>
        <v>American</v>
      </c>
    </row>
    <row r="171" spans="1:10" x14ac:dyDescent="0.3">
      <c r="A171" t="s">
        <v>9</v>
      </c>
      <c r="B171" s="2">
        <v>44000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  <c r="G171">
        <f t="shared" si="8"/>
        <v>2020</v>
      </c>
      <c r="H171">
        <f t="shared" si="9"/>
        <v>6</v>
      </c>
      <c r="I171">
        <f t="shared" si="10"/>
        <v>18</v>
      </c>
      <c r="J171" t="str">
        <f t="shared" si="11"/>
        <v>Non-American</v>
      </c>
    </row>
    <row r="172" spans="1:10" x14ac:dyDescent="0.3">
      <c r="A172" t="s">
        <v>9</v>
      </c>
      <c r="B172" s="2">
        <v>44001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  <c r="G172">
        <f t="shared" si="8"/>
        <v>2020</v>
      </c>
      <c r="H172">
        <f t="shared" si="9"/>
        <v>6</v>
      </c>
      <c r="I172">
        <f t="shared" si="10"/>
        <v>19</v>
      </c>
      <c r="J172" t="str">
        <f t="shared" si="11"/>
        <v>Non-American</v>
      </c>
    </row>
    <row r="173" spans="1:10" x14ac:dyDescent="0.3">
      <c r="A173" t="s">
        <v>8</v>
      </c>
      <c r="B173" s="2">
        <v>44002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  <c r="G173">
        <f t="shared" si="8"/>
        <v>2020</v>
      </c>
      <c r="H173">
        <f t="shared" si="9"/>
        <v>6</v>
      </c>
      <c r="I173">
        <f t="shared" si="10"/>
        <v>20</v>
      </c>
      <c r="J173" t="str">
        <f t="shared" si="11"/>
        <v>American</v>
      </c>
    </row>
    <row r="174" spans="1:10" x14ac:dyDescent="0.3">
      <c r="A174" t="s">
        <v>6</v>
      </c>
      <c r="B174" s="2">
        <v>44003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  <c r="G174">
        <f t="shared" si="8"/>
        <v>2020</v>
      </c>
      <c r="H174">
        <f t="shared" si="9"/>
        <v>6</v>
      </c>
      <c r="I174">
        <f t="shared" si="10"/>
        <v>21</v>
      </c>
      <c r="J174" t="str">
        <f t="shared" si="11"/>
        <v>American</v>
      </c>
    </row>
    <row r="175" spans="1:10" x14ac:dyDescent="0.3">
      <c r="A175" t="s">
        <v>9</v>
      </c>
      <c r="B175" s="2">
        <v>44004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  <c r="G175">
        <f t="shared" si="8"/>
        <v>2020</v>
      </c>
      <c r="H175">
        <f t="shared" si="9"/>
        <v>6</v>
      </c>
      <c r="I175">
        <f t="shared" si="10"/>
        <v>22</v>
      </c>
      <c r="J175" t="str">
        <f t="shared" si="11"/>
        <v>Non-American</v>
      </c>
    </row>
    <row r="176" spans="1:10" x14ac:dyDescent="0.3">
      <c r="A176" t="s">
        <v>6</v>
      </c>
      <c r="B176" s="2">
        <v>44005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  <c r="G176">
        <f t="shared" si="8"/>
        <v>2020</v>
      </c>
      <c r="H176">
        <f t="shared" si="9"/>
        <v>6</v>
      </c>
      <c r="I176">
        <f t="shared" si="10"/>
        <v>23</v>
      </c>
      <c r="J176" t="str">
        <f t="shared" si="11"/>
        <v>American</v>
      </c>
    </row>
    <row r="177" spans="1:10" x14ac:dyDescent="0.3">
      <c r="A177" t="s">
        <v>9</v>
      </c>
      <c r="B177" s="2">
        <v>44006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  <c r="G177">
        <f t="shared" si="8"/>
        <v>2020</v>
      </c>
      <c r="H177">
        <f t="shared" si="9"/>
        <v>6</v>
      </c>
      <c r="I177">
        <f t="shared" si="10"/>
        <v>24</v>
      </c>
      <c r="J177" t="str">
        <f t="shared" si="11"/>
        <v>Non-American</v>
      </c>
    </row>
    <row r="178" spans="1:10" x14ac:dyDescent="0.3">
      <c r="A178" t="s">
        <v>8</v>
      </c>
      <c r="B178" s="2">
        <v>44007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  <c r="G178">
        <f t="shared" si="8"/>
        <v>2020</v>
      </c>
      <c r="H178">
        <f t="shared" si="9"/>
        <v>6</v>
      </c>
      <c r="I178">
        <f t="shared" si="10"/>
        <v>25</v>
      </c>
      <c r="J178" t="str">
        <f t="shared" si="11"/>
        <v>American</v>
      </c>
    </row>
    <row r="179" spans="1:10" x14ac:dyDescent="0.3">
      <c r="A179" t="s">
        <v>7</v>
      </c>
      <c r="B179" s="2">
        <v>44008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  <c r="G179">
        <f t="shared" si="8"/>
        <v>2020</v>
      </c>
      <c r="H179">
        <f t="shared" si="9"/>
        <v>6</v>
      </c>
      <c r="I179">
        <f t="shared" si="10"/>
        <v>26</v>
      </c>
      <c r="J179" t="str">
        <f t="shared" si="11"/>
        <v>Non-American</v>
      </c>
    </row>
    <row r="180" spans="1:10" x14ac:dyDescent="0.3">
      <c r="A180" t="s">
        <v>7</v>
      </c>
      <c r="B180" s="2">
        <v>44009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  <c r="G180">
        <f t="shared" si="8"/>
        <v>2020</v>
      </c>
      <c r="H180">
        <f t="shared" si="9"/>
        <v>6</v>
      </c>
      <c r="I180">
        <f t="shared" si="10"/>
        <v>27</v>
      </c>
      <c r="J180" t="str">
        <f t="shared" si="11"/>
        <v>Non-American</v>
      </c>
    </row>
    <row r="181" spans="1:10" x14ac:dyDescent="0.3">
      <c r="A181" t="s">
        <v>7</v>
      </c>
      <c r="B181" s="2">
        <v>44010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  <c r="G181">
        <f t="shared" si="8"/>
        <v>2020</v>
      </c>
      <c r="H181">
        <f t="shared" si="9"/>
        <v>6</v>
      </c>
      <c r="I181">
        <f t="shared" si="10"/>
        <v>28</v>
      </c>
      <c r="J181" t="str">
        <f t="shared" si="11"/>
        <v>Non-American</v>
      </c>
    </row>
    <row r="182" spans="1:10" x14ac:dyDescent="0.3">
      <c r="A182" t="s">
        <v>9</v>
      </c>
      <c r="B182" s="2">
        <v>44011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  <c r="G182">
        <f t="shared" si="8"/>
        <v>2020</v>
      </c>
      <c r="H182">
        <f t="shared" si="9"/>
        <v>6</v>
      </c>
      <c r="I182">
        <f t="shared" si="10"/>
        <v>29</v>
      </c>
      <c r="J182" t="str">
        <f t="shared" si="11"/>
        <v>Non-American</v>
      </c>
    </row>
    <row r="183" spans="1:10" x14ac:dyDescent="0.3">
      <c r="A183" t="s">
        <v>8</v>
      </c>
      <c r="B183" s="2">
        <v>44012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  <c r="G183">
        <f t="shared" si="8"/>
        <v>2020</v>
      </c>
      <c r="H183">
        <f t="shared" si="9"/>
        <v>6</v>
      </c>
      <c r="I183">
        <f t="shared" si="10"/>
        <v>30</v>
      </c>
      <c r="J183" t="str">
        <f t="shared" si="11"/>
        <v>American</v>
      </c>
    </row>
    <row r="184" spans="1:10" x14ac:dyDescent="0.3">
      <c r="A184" t="s">
        <v>6</v>
      </c>
      <c r="B184" s="2">
        <v>44013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  <c r="G184">
        <f t="shared" si="8"/>
        <v>2020</v>
      </c>
      <c r="H184">
        <f t="shared" si="9"/>
        <v>7</v>
      </c>
      <c r="I184">
        <f t="shared" si="10"/>
        <v>1</v>
      </c>
      <c r="J184" t="str">
        <f t="shared" si="11"/>
        <v>American</v>
      </c>
    </row>
    <row r="185" spans="1:10" x14ac:dyDescent="0.3">
      <c r="A185" t="s">
        <v>7</v>
      </c>
      <c r="B185" s="2">
        <v>44014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  <c r="G185">
        <f t="shared" si="8"/>
        <v>2020</v>
      </c>
      <c r="H185">
        <f t="shared" si="9"/>
        <v>7</v>
      </c>
      <c r="I185">
        <f t="shared" si="10"/>
        <v>2</v>
      </c>
      <c r="J185" t="str">
        <f t="shared" si="11"/>
        <v>Non-American</v>
      </c>
    </row>
    <row r="186" spans="1:10" x14ac:dyDescent="0.3">
      <c r="A186" t="s">
        <v>6</v>
      </c>
      <c r="B186" s="2">
        <v>44015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  <c r="G186">
        <f t="shared" si="8"/>
        <v>2020</v>
      </c>
      <c r="H186">
        <f t="shared" si="9"/>
        <v>7</v>
      </c>
      <c r="I186">
        <f t="shared" si="10"/>
        <v>3</v>
      </c>
      <c r="J186" t="str">
        <f t="shared" si="11"/>
        <v>American</v>
      </c>
    </row>
    <row r="187" spans="1:10" x14ac:dyDescent="0.3">
      <c r="A187" t="s">
        <v>7</v>
      </c>
      <c r="B187" s="2">
        <v>44016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  <c r="G187">
        <f t="shared" si="8"/>
        <v>2020</v>
      </c>
      <c r="H187">
        <f t="shared" si="9"/>
        <v>7</v>
      </c>
      <c r="I187">
        <f t="shared" si="10"/>
        <v>4</v>
      </c>
      <c r="J187" t="str">
        <f t="shared" si="11"/>
        <v>Non-American</v>
      </c>
    </row>
    <row r="188" spans="1:10" x14ac:dyDescent="0.3">
      <c r="A188" t="s">
        <v>6</v>
      </c>
      <c r="B188" s="2">
        <v>44017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  <c r="G188">
        <f t="shared" si="8"/>
        <v>2020</v>
      </c>
      <c r="H188">
        <f t="shared" si="9"/>
        <v>7</v>
      </c>
      <c r="I188">
        <f t="shared" si="10"/>
        <v>5</v>
      </c>
      <c r="J188" t="str">
        <f t="shared" si="11"/>
        <v>American</v>
      </c>
    </row>
    <row r="189" spans="1:10" x14ac:dyDescent="0.3">
      <c r="A189" t="s">
        <v>9</v>
      </c>
      <c r="B189" s="2">
        <v>44018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  <c r="G189">
        <f t="shared" si="8"/>
        <v>2020</v>
      </c>
      <c r="H189">
        <f t="shared" si="9"/>
        <v>7</v>
      </c>
      <c r="I189">
        <f t="shared" si="10"/>
        <v>6</v>
      </c>
      <c r="J189" t="str">
        <f t="shared" si="11"/>
        <v>Non-American</v>
      </c>
    </row>
    <row r="190" spans="1:10" x14ac:dyDescent="0.3">
      <c r="A190" t="s">
        <v>9</v>
      </c>
      <c r="B190" s="2">
        <v>44019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  <c r="G190">
        <f t="shared" si="8"/>
        <v>2020</v>
      </c>
      <c r="H190">
        <f t="shared" si="9"/>
        <v>7</v>
      </c>
      <c r="I190">
        <f t="shared" si="10"/>
        <v>7</v>
      </c>
      <c r="J190" t="str">
        <f t="shared" si="11"/>
        <v>Non-American</v>
      </c>
    </row>
    <row r="191" spans="1:10" x14ac:dyDescent="0.3">
      <c r="A191" t="s">
        <v>6</v>
      </c>
      <c r="B191" s="2">
        <v>44020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  <c r="G191">
        <f t="shared" si="8"/>
        <v>2020</v>
      </c>
      <c r="H191">
        <f t="shared" si="9"/>
        <v>7</v>
      </c>
      <c r="I191">
        <f t="shared" si="10"/>
        <v>8</v>
      </c>
      <c r="J191" t="str">
        <f t="shared" si="11"/>
        <v>American</v>
      </c>
    </row>
    <row r="192" spans="1:10" x14ac:dyDescent="0.3">
      <c r="A192" t="s">
        <v>9</v>
      </c>
      <c r="B192" s="2">
        <v>44021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  <c r="G192">
        <f t="shared" si="8"/>
        <v>2020</v>
      </c>
      <c r="H192">
        <f t="shared" si="9"/>
        <v>7</v>
      </c>
      <c r="I192">
        <f t="shared" si="10"/>
        <v>9</v>
      </c>
      <c r="J192" t="str">
        <f>IF(OR(A192="North America", A192="South America"), "American", "Non-American")</f>
        <v>Non-American</v>
      </c>
    </row>
    <row r="193" spans="1:10" x14ac:dyDescent="0.3">
      <c r="A193" t="s">
        <v>6</v>
      </c>
      <c r="B193" s="2">
        <v>44022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  <c r="G193">
        <f t="shared" si="8"/>
        <v>2020</v>
      </c>
      <c r="H193">
        <f t="shared" si="9"/>
        <v>7</v>
      </c>
      <c r="I193">
        <f t="shared" si="10"/>
        <v>10</v>
      </c>
      <c r="J193" t="str">
        <f t="shared" si="11"/>
        <v>American</v>
      </c>
    </row>
    <row r="194" spans="1:10" x14ac:dyDescent="0.3">
      <c r="A194" t="s">
        <v>9</v>
      </c>
      <c r="B194" s="2">
        <v>44023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  <c r="G194">
        <f t="shared" si="8"/>
        <v>2020</v>
      </c>
      <c r="H194">
        <f t="shared" si="9"/>
        <v>7</v>
      </c>
      <c r="I194">
        <f t="shared" si="10"/>
        <v>11</v>
      </c>
      <c r="J194" t="str">
        <f t="shared" si="11"/>
        <v>Non-American</v>
      </c>
    </row>
    <row r="195" spans="1:10" x14ac:dyDescent="0.3">
      <c r="A195" t="s">
        <v>9</v>
      </c>
      <c r="B195" s="2">
        <v>44024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  <c r="G195">
        <f t="shared" ref="G195:G201" si="12">YEAR(B195)</f>
        <v>2020</v>
      </c>
      <c r="H195">
        <f t="shared" ref="H195:H201" si="13">MONTH(B195)</f>
        <v>7</v>
      </c>
      <c r="I195">
        <f t="shared" ref="I195:I201" si="14">DAY(B195)</f>
        <v>12</v>
      </c>
      <c r="J195" t="str">
        <f t="shared" ref="J195:J201" si="15">IF(OR(A195="North America", A195="South America"), "American", "Non-American")</f>
        <v>Non-American</v>
      </c>
    </row>
    <row r="196" spans="1:10" x14ac:dyDescent="0.3">
      <c r="A196" t="s">
        <v>6</v>
      </c>
      <c r="B196" s="2">
        <v>44025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  <c r="G196">
        <f t="shared" si="12"/>
        <v>2020</v>
      </c>
      <c r="H196">
        <f t="shared" si="13"/>
        <v>7</v>
      </c>
      <c r="I196">
        <f t="shared" si="14"/>
        <v>13</v>
      </c>
      <c r="J196" t="str">
        <f t="shared" si="15"/>
        <v>American</v>
      </c>
    </row>
    <row r="197" spans="1:10" x14ac:dyDescent="0.3">
      <c r="A197" t="s">
        <v>7</v>
      </c>
      <c r="B197" s="2">
        <v>44026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  <c r="G197">
        <f t="shared" si="12"/>
        <v>2020</v>
      </c>
      <c r="H197">
        <f t="shared" si="13"/>
        <v>7</v>
      </c>
      <c r="I197">
        <f t="shared" si="14"/>
        <v>14</v>
      </c>
      <c r="J197" t="str">
        <f t="shared" si="15"/>
        <v>Non-American</v>
      </c>
    </row>
    <row r="198" spans="1:10" x14ac:dyDescent="0.3">
      <c r="A198" t="s">
        <v>7</v>
      </c>
      <c r="B198" s="2">
        <v>44027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  <c r="G198">
        <f t="shared" si="12"/>
        <v>2020</v>
      </c>
      <c r="H198">
        <f t="shared" si="13"/>
        <v>7</v>
      </c>
      <c r="I198">
        <f t="shared" si="14"/>
        <v>15</v>
      </c>
      <c r="J198" t="str">
        <f t="shared" si="15"/>
        <v>Non-American</v>
      </c>
    </row>
    <row r="199" spans="1:10" x14ac:dyDescent="0.3">
      <c r="A199" t="s">
        <v>8</v>
      </c>
      <c r="B199" s="2">
        <v>44028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  <c r="G199">
        <f t="shared" si="12"/>
        <v>2020</v>
      </c>
      <c r="H199">
        <f t="shared" si="13"/>
        <v>7</v>
      </c>
      <c r="I199">
        <f t="shared" si="14"/>
        <v>16</v>
      </c>
      <c r="J199" t="str">
        <f t="shared" si="15"/>
        <v>American</v>
      </c>
    </row>
    <row r="200" spans="1:10" x14ac:dyDescent="0.3">
      <c r="A200" t="s">
        <v>8</v>
      </c>
      <c r="B200" s="2">
        <v>44029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  <c r="G200">
        <f t="shared" si="12"/>
        <v>2020</v>
      </c>
      <c r="H200">
        <f t="shared" si="13"/>
        <v>7</v>
      </c>
      <c r="I200">
        <f t="shared" si="14"/>
        <v>17</v>
      </c>
      <c r="J200" t="str">
        <f t="shared" si="15"/>
        <v>American</v>
      </c>
    </row>
    <row r="201" spans="1:10" x14ac:dyDescent="0.3">
      <c r="A201" t="s">
        <v>7</v>
      </c>
      <c r="B201" s="2">
        <v>44030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  <c r="G201">
        <f t="shared" si="12"/>
        <v>2020</v>
      </c>
      <c r="H201">
        <f t="shared" si="13"/>
        <v>7</v>
      </c>
      <c r="I201">
        <f t="shared" si="14"/>
        <v>18</v>
      </c>
      <c r="J201" t="str">
        <f t="shared" si="15"/>
        <v>Non-American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Mahajan</dc:creator>
  <cp:lastModifiedBy>Megha Mahajan</cp:lastModifiedBy>
  <dcterms:created xsi:type="dcterms:W3CDTF">2024-02-26T14:04:16Z</dcterms:created>
  <dcterms:modified xsi:type="dcterms:W3CDTF">2025-02-12T06:15:48Z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